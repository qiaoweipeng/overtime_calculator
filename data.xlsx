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25" tabRatio="677" activeTab="2"/>
  </bookViews>
  <sheets>
    <sheet name="4月考勤飞书发送版" sheetId="14" r:id="rId1"/>
    <sheet name="4月考勤汇总表" sheetId="1" r:id="rId2"/>
    <sheet name="深圳" sheetId="3" r:id="rId3"/>
    <sheet name="梅州" sheetId="5" r:id="rId4"/>
    <sheet name="仓库" sheetId="4" r:id="rId5"/>
    <sheet name="广西" sheetId="6" r:id="rId6"/>
    <sheet name="长沙" sheetId="7" r:id="rId7"/>
    <sheet name="武汉" sheetId="8" r:id="rId8"/>
    <sheet name="临时工" sheetId="28" r:id="rId9"/>
    <sheet name="深圳水电费" sheetId="15" r:id="rId10"/>
    <sheet name="社保汇总表" sheetId="29" r:id="rId11"/>
    <sheet name="公积金汇总表" sheetId="30" r:id="rId12"/>
    <sheet name="Sheet2" sheetId="13" state="hidden" r:id="rId13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'4月考勤飞书发送版'!$A$2:$W$113</definedName>
    <definedName name="_xlnm._FilterDatabase" localSheetId="1" hidden="1">'4月考勤汇总表'!$A$2:$AC$115</definedName>
    <definedName name="_xlnm._FilterDatabase" localSheetId="2" hidden="1">深圳!$A$1:$BD$53</definedName>
    <definedName name="_xlnm._FilterDatabase" localSheetId="3" hidden="1">梅州!#REF!</definedName>
    <definedName name="_xlnm._FilterDatabase" localSheetId="5" hidden="1">广西!#REF!</definedName>
    <definedName name="_xlnm._FilterDatabase" localSheetId="7" hidden="1">武汉!#REF!</definedName>
    <definedName name="_xlnm._FilterDatabase" localSheetId="4" hidden="1">仓库!#REF!</definedName>
    <definedName name="_xlnm._FilterDatabase" localSheetId="6" hidden="1">长沙!#REF!</definedName>
    <definedName name="combo_4_4_data">[1]combo_4_4!$A$1:$A$13</definedName>
    <definedName name="_xlnm._FilterDatabase" localSheetId="9" hidden="1">深圳水电费!#REF!</definedName>
    <definedName name="combo_1_1_data">[2]combo_1_1!$A$1:$A$46</definedName>
    <definedName name="drop_005_003">[3]花名册隐藏下拉框!$I$1:$I$9</definedName>
    <definedName name="combo_14_14_data">[4]combo_14_14!$A$1:$A$277</definedName>
    <definedName name="combo_16_16_data">[4]combo_16_16!$A$1:$A$46</definedName>
    <definedName name="drop_004_013">[5]花名册隐藏下拉框!$G$1:$G$6</definedName>
    <definedName name="_xlnm.Print_Area" localSheetId="5">广西!#REF!</definedName>
    <definedName name="_xlnm.Print_Area" localSheetId="3">梅州!#REF!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陪产假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陪产假</t>
        </r>
      </text>
    </comment>
  </commentList>
</comments>
</file>

<file path=xl/comments3.xml><?xml version="1.0" encoding="utf-8"?>
<comments xmlns="http://schemas.openxmlformats.org/spreadsheetml/2006/main">
  <authors>
    <author>冯顺龙</author>
    <author>Administrator</author>
    <author>夏羽</author>
  </authors>
  <commentList>
    <comment ref="AC3" authorId="0">
      <text>
        <r>
          <rPr>
            <sz val="9"/>
            <rFont val="宋体"/>
            <charset val="134"/>
          </rPr>
          <t>特殊情况21:00后开始计算加班</t>
        </r>
      </text>
    </comment>
    <comment ref="AR11" authorId="1">
      <text>
        <r>
          <rPr>
            <sz val="12"/>
            <rFont val="宋体"/>
            <charset val="134"/>
          </rPr>
          <t>产假薪资单独在工资表里补贴</t>
        </r>
      </text>
    </comment>
    <comment ref="D23" authorId="2">
      <text>
        <r>
          <rPr>
            <sz val="12"/>
            <rFont val="宋体"/>
            <charset val="134"/>
          </rPr>
          <t>特批，下班卡为正常</t>
        </r>
      </text>
    </comment>
    <comment ref="AF23" authorId="1">
      <text>
        <r>
          <rPr>
            <sz val="12"/>
            <rFont val="宋体"/>
            <charset val="134"/>
          </rPr>
          <t>特批月连休年假超过2天</t>
        </r>
      </text>
    </comment>
    <comment ref="AV34" authorId="1">
      <text>
        <r>
          <rPr>
            <sz val="12"/>
            <rFont val="宋体"/>
            <charset val="134"/>
          </rPr>
          <t>个人领取生育津贴，故后续不发放产假工资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X12" authorId="0">
      <text>
        <r>
          <rPr>
            <sz val="12"/>
            <rFont val="宋体"/>
            <charset val="134"/>
          </rPr>
          <t>特批，下午工作安排外出办理店铺注册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4/27钦州因暴雨天气，领导特批居家办公</t>
        </r>
        <r>
          <rPr>
            <b/>
            <sz val="9"/>
            <rFont val="宋体"/>
            <charset val="134"/>
          </rPr>
          <t xml:space="preserve">
</t>
        </r>
      </text>
    </comment>
    <comment ref="A6" authorId="0">
      <text>
        <r>
          <rPr>
            <sz val="9"/>
            <rFont val="宋体"/>
            <charset val="134"/>
          </rPr>
          <t>产假 158天(01/26 上午-07/02 下午)
4月出勤11.5天</t>
        </r>
      </text>
    </comment>
    <comment ref="AR6" authorId="0">
      <text>
        <r>
          <rPr>
            <sz val="12"/>
            <rFont val="宋体"/>
            <charset val="134"/>
          </rPr>
          <t>个人领取生育津贴，故后续不发放产假工资</t>
        </r>
        <r>
          <rPr>
            <sz val="10"/>
            <rFont val="宋体"/>
            <charset val="134"/>
          </rPr>
          <t xml:space="preserve">
</t>
        </r>
      </text>
    </comment>
    <comment ref="AV6" authorId="0">
      <text>
        <r>
          <rPr>
            <sz val="12"/>
            <rFont val="宋体"/>
            <charset val="134"/>
          </rPr>
          <t>03/16起居家办公，无固定上下班时间，每日打卡时长满4小时即计为0.5天出勤，超出时长不予累计不计全勤</t>
        </r>
      </text>
    </comment>
  </commentList>
</comments>
</file>

<file path=xl/comments6.xml><?xml version="1.0" encoding="utf-8"?>
<comments xmlns="http://schemas.openxmlformats.org/spreadsheetml/2006/main">
  <authors>
    <author>夏羽</author>
    <author>Administrator</author>
  </authors>
  <commentList>
    <comment ref="T2" authorId="0">
      <text>
        <r>
          <rPr>
            <sz val="9"/>
            <rFont val="宋体"/>
            <charset val="134"/>
          </rPr>
          <t>特批，按小时计算年假3.5小时（0.44天）</t>
        </r>
      </text>
    </comment>
    <comment ref="AW10" authorId="1">
      <text>
        <r>
          <rPr>
            <sz val="9"/>
            <rFont val="宋体"/>
            <charset val="134"/>
          </rPr>
          <t>4/24在午休后在工位睡觉，按照人力行政制度：在工作时间聊天、嬉戏、躺卧、睡觉或从事与工作无关的事情，予以扣除当月绩效奖金 50元（在工资表体现）；
缺卡累计4次，按人事行政制度月缺卡超3次需乐捐50元。</t>
        </r>
      </text>
    </comment>
  </commentList>
</comments>
</file>

<file path=xl/sharedStrings.xml><?xml version="1.0" encoding="utf-8"?>
<sst xmlns="http://schemas.openxmlformats.org/spreadsheetml/2006/main" count="7998" uniqueCount="2324">
  <si>
    <t>UserID</t>
  </si>
  <si>
    <t>姓名</t>
  </si>
  <si>
    <t>月份</t>
  </si>
  <si>
    <t>区域</t>
  </si>
  <si>
    <t>部门</t>
  </si>
  <si>
    <t>转正时间</t>
  </si>
  <si>
    <t>应出勤天数</t>
  </si>
  <si>
    <t>实出勤天数</t>
  </si>
  <si>
    <t>迟到/早退时长(分钟）</t>
  </si>
  <si>
    <t>缺卡次数</t>
  </si>
  <si>
    <t>旷工/天</t>
  </si>
  <si>
    <t>事假/天</t>
  </si>
  <si>
    <t>年假/天</t>
  </si>
  <si>
    <t>病假/天</t>
  </si>
  <si>
    <t>丧假/天</t>
  </si>
  <si>
    <t>婚假/天</t>
  </si>
  <si>
    <t>产假/天</t>
  </si>
  <si>
    <r>
      <rPr>
        <b/>
        <sz val="12"/>
        <rFont val="宋体"/>
        <charset val="134"/>
      </rPr>
      <t>调休</t>
    </r>
    <r>
      <rPr>
        <b/>
        <sz val="12"/>
        <rFont val="Calibri"/>
        <charset val="134"/>
      </rPr>
      <t>/</t>
    </r>
    <r>
      <rPr>
        <b/>
        <sz val="12"/>
        <rFont val="宋体"/>
        <charset val="134"/>
      </rPr>
      <t>天</t>
    </r>
  </si>
  <si>
    <t>加班/天</t>
  </si>
  <si>
    <t>法定节假日/天</t>
  </si>
  <si>
    <t>计薪天数</t>
  </si>
  <si>
    <t>乐捐/元</t>
  </si>
  <si>
    <t>补贴部分</t>
  </si>
  <si>
    <t>备注</t>
  </si>
  <si>
    <t>全勤奖（元）</t>
  </si>
  <si>
    <t>7494100833171013636</t>
  </si>
  <si>
    <t>熊文文</t>
  </si>
  <si>
    <t>深圳</t>
  </si>
  <si>
    <t>财务部</t>
  </si>
  <si>
    <t>7494458406943637507</t>
  </si>
  <si>
    <t>陈春叶</t>
  </si>
  <si>
    <t>7597988254654204880</t>
  </si>
  <si>
    <t>罗倩</t>
  </si>
  <si>
    <t>7617657975045442756</t>
  </si>
  <si>
    <t>李佳凤</t>
  </si>
  <si>
    <t>7560505191249018881</t>
  </si>
  <si>
    <t>李思思</t>
  </si>
  <si>
    <t>7494102874601947138</t>
  </si>
  <si>
    <t>邓茗霞</t>
  </si>
  <si>
    <t>采购部</t>
  </si>
  <si>
    <t>7494105557268791297</t>
  </si>
  <si>
    <t>张丽玲</t>
  </si>
  <si>
    <t>7579801382065081549</t>
  </si>
  <si>
    <t>施晓珊</t>
  </si>
  <si>
    <t>7494101128265957380</t>
  </si>
  <si>
    <t>罗仁杰</t>
  </si>
  <si>
    <t>开发部</t>
  </si>
  <si>
    <t>7494101393688068115</t>
  </si>
  <si>
    <t>彭永红</t>
  </si>
  <si>
    <t>7494101172369358852</t>
  </si>
  <si>
    <t>魏永伟</t>
  </si>
  <si>
    <t>7612460595211685045</t>
  </si>
  <si>
    <t>徐锡瑩</t>
  </si>
  <si>
    <t>7613565786199722939</t>
  </si>
  <si>
    <t>朱耀君</t>
  </si>
  <si>
    <t>7494100992892829715</t>
  </si>
  <si>
    <t>刘俊聪</t>
  </si>
  <si>
    <t>设计部</t>
  </si>
  <si>
    <t>7494101078171467777</t>
  </si>
  <si>
    <t>吴竞涛</t>
  </si>
  <si>
    <t>7628041617374579672</t>
  </si>
  <si>
    <t>洪诗星</t>
  </si>
  <si>
    <t>7494103173159010307</t>
  </si>
  <si>
    <t>刘士灵</t>
  </si>
  <si>
    <t>物流部</t>
  </si>
  <si>
    <t>7583885494455389385</t>
  </si>
  <si>
    <t>杨汇雯</t>
  </si>
  <si>
    <t>7501522421528133633</t>
  </si>
  <si>
    <t>史泰龙</t>
  </si>
  <si>
    <t>软件部</t>
  </si>
  <si>
    <t>7613578648704011195</t>
  </si>
  <si>
    <t>王明宇</t>
  </si>
  <si>
    <t>7617656987353992410</t>
  </si>
  <si>
    <t>黄云宝</t>
  </si>
  <si>
    <t>7494123790910652420</t>
  </si>
  <si>
    <t>耿纪涛</t>
  </si>
  <si>
    <t>人力资源行政部</t>
  </si>
  <si>
    <t>7494456825800867843</t>
  </si>
  <si>
    <t>曾华欣</t>
  </si>
  <si>
    <t>7494103198140399644</t>
  </si>
  <si>
    <t>李冬勤</t>
  </si>
  <si>
    <t>7497931957964161052</t>
  </si>
  <si>
    <t>罗洁敏</t>
  </si>
  <si>
    <t>事业二部/项目二部</t>
  </si>
  <si>
    <t>7497931856088727553</t>
  </si>
  <si>
    <t>李彩花</t>
  </si>
  <si>
    <t>7494099716294082564</t>
  </si>
  <si>
    <t>张雅丽</t>
  </si>
  <si>
    <t>事业二部/项目五部</t>
  </si>
  <si>
    <t>7503732576948797444</t>
  </si>
  <si>
    <t>范婷</t>
  </si>
  <si>
    <t>7497916191278645251</t>
  </si>
  <si>
    <t>张芮</t>
  </si>
  <si>
    <t>7539724651969773596</t>
  </si>
  <si>
    <t>杨琴</t>
  </si>
  <si>
    <t>7559020197085511682</t>
  </si>
  <si>
    <t>文奕凡</t>
  </si>
  <si>
    <t>7497922022561366020</t>
  </si>
  <si>
    <t>陈晓波</t>
  </si>
  <si>
    <t>事业六部/项目六部</t>
  </si>
  <si>
    <t>7497920080774873107</t>
  </si>
  <si>
    <t>卢丹婷</t>
  </si>
  <si>
    <t>7497918537538338818</t>
  </si>
  <si>
    <t>吴雪霜</t>
  </si>
  <si>
    <t>事业六部/项目三部</t>
  </si>
  <si>
    <t>7497919000152637459</t>
  </si>
  <si>
    <t>何吕江</t>
  </si>
  <si>
    <t>7497918927981953028</t>
  </si>
  <si>
    <t>余仕梦</t>
  </si>
  <si>
    <t>7524148126334124035</t>
  </si>
  <si>
    <t>谭粤庭</t>
  </si>
  <si>
    <t>7545289752260083731</t>
  </si>
  <si>
    <t>吴晓彬</t>
  </si>
  <si>
    <t>事业六部/项目十部</t>
  </si>
  <si>
    <t>7497916143877865476</t>
  </si>
  <si>
    <t>罗银喜</t>
  </si>
  <si>
    <t>事业四部/项目一部</t>
  </si>
  <si>
    <t>7497099583496470531</t>
  </si>
  <si>
    <t>曾文杰</t>
  </si>
  <si>
    <t>事业四部/项目七部</t>
  </si>
  <si>
    <t>7497127595332534274</t>
  </si>
  <si>
    <t>邹伴</t>
  </si>
  <si>
    <t>7497096666538409985</t>
  </si>
  <si>
    <t>岑学聪</t>
  </si>
  <si>
    <t>7497099533449789468</t>
  </si>
  <si>
    <t>余玉莹</t>
  </si>
  <si>
    <t>7497915410841337875</t>
  </si>
  <si>
    <t>谭平兰</t>
  </si>
  <si>
    <t>7497915509212741660</t>
  </si>
  <si>
    <t>黄斌</t>
  </si>
  <si>
    <t>事业四部/项目一部/精品一部</t>
  </si>
  <si>
    <t>7497915380124467202</t>
  </si>
  <si>
    <t>周金</t>
  </si>
  <si>
    <t>7497916813032767507</t>
  </si>
  <si>
    <t>陈丹敏</t>
  </si>
  <si>
    <t>7596871279270071235</t>
  </si>
  <si>
    <t>姚源</t>
  </si>
  <si>
    <t>7622851945419164882</t>
  </si>
  <si>
    <t>邓佳琪</t>
  </si>
  <si>
    <t>7514862711000760323</t>
  </si>
  <si>
    <t>邝碧琪</t>
  </si>
  <si>
    <t>事业三部/项目八部</t>
  </si>
  <si>
    <t>7494113373470556162</t>
  </si>
  <si>
    <t>彭志荣</t>
  </si>
  <si>
    <t>仓库</t>
  </si>
  <si>
    <t>仓储部FBA</t>
  </si>
  <si>
    <t>7494105206495477788</t>
  </si>
  <si>
    <t>农青华</t>
  </si>
  <si>
    <t>7494100138596646931</t>
  </si>
  <si>
    <t>刘茜</t>
  </si>
  <si>
    <t>仓储部FBM</t>
  </si>
  <si>
    <t>7494121018686488577</t>
  </si>
  <si>
    <t>樊莉莉</t>
  </si>
  <si>
    <t>7501520647701790739</t>
  </si>
  <si>
    <t>黄欣</t>
  </si>
  <si>
    <t>7494129230570242050</t>
  </si>
  <si>
    <t>林平安</t>
  </si>
  <si>
    <t>7494108141807337476</t>
  </si>
  <si>
    <t>蓝凌云</t>
  </si>
  <si>
    <t>7494107133399531524</t>
  </si>
  <si>
    <t>詹楚鑫</t>
  </si>
  <si>
    <t>7494104394960158748</t>
  </si>
  <si>
    <t>黄征程</t>
  </si>
  <si>
    <t>7572095123472891905</t>
  </si>
  <si>
    <t>吴林</t>
  </si>
  <si>
    <t>7497090363900297220</t>
  </si>
  <si>
    <t>吴剑飞</t>
  </si>
  <si>
    <t>梅州</t>
  </si>
  <si>
    <t>7493742013943267330</t>
  </si>
  <si>
    <t>易良红</t>
  </si>
  <si>
    <t>7497089791096487938</t>
  </si>
  <si>
    <t>李权</t>
  </si>
  <si>
    <t>7493718126287519748</t>
  </si>
  <si>
    <t>罗漫如</t>
  </si>
  <si>
    <t>7497090173531389980</t>
  </si>
  <si>
    <t>曾雨君</t>
  </si>
  <si>
    <t>7547528034698739713</t>
  </si>
  <si>
    <t>王玥</t>
  </si>
  <si>
    <t>7613564898676608220</t>
  </si>
  <si>
    <t>程雪莹</t>
  </si>
  <si>
    <t>7620253680234794179</t>
  </si>
  <si>
    <t>伍宇晴</t>
  </si>
  <si>
    <t>7497090042927513601</t>
  </si>
  <si>
    <t>邱佳滢</t>
  </si>
  <si>
    <t>7497089545667215364</t>
  </si>
  <si>
    <t>陈曦</t>
  </si>
  <si>
    <t>7610607861856570333</t>
  </si>
  <si>
    <t>罗丽萍</t>
  </si>
  <si>
    <t>7610612488108166089</t>
  </si>
  <si>
    <t>罗俊耀</t>
  </si>
  <si>
    <t>7610612958770580681</t>
  </si>
  <si>
    <t>罗慧玲</t>
  </si>
  <si>
    <t>7493720586683236371</t>
  </si>
  <si>
    <t>黄川玲</t>
  </si>
  <si>
    <t>广西</t>
  </si>
  <si>
    <t>事业五部/项目九部</t>
  </si>
  <si>
    <t>7493719273494593555</t>
  </si>
  <si>
    <t>陆秋兰</t>
  </si>
  <si>
    <t>7493721628883304467</t>
  </si>
  <si>
    <t>黄源慧</t>
  </si>
  <si>
    <t>7497129710809858050</t>
  </si>
  <si>
    <t>伍慧珍</t>
  </si>
  <si>
    <t>7493739396483596307</t>
  </si>
  <si>
    <t>唐佳艺</t>
  </si>
  <si>
    <t>7493471382633070611</t>
  </si>
  <si>
    <t>金云霞</t>
  </si>
  <si>
    <t>武汉</t>
  </si>
  <si>
    <t>7542337246830002204</t>
  </si>
  <si>
    <t>朱青雨</t>
  </si>
  <si>
    <t>7493463151874768897</t>
  </si>
  <si>
    <t>李佩</t>
  </si>
  <si>
    <t>7494204437100167196</t>
  </si>
  <si>
    <t>马玉</t>
  </si>
  <si>
    <t>7494204355027976194</t>
  </si>
  <si>
    <t>王小庆</t>
  </si>
  <si>
    <t>7493468011567775745</t>
  </si>
  <si>
    <t>胡家凤</t>
  </si>
  <si>
    <t>事业一部/项目四部</t>
  </si>
  <si>
    <t>7493472640210747420</t>
  </si>
  <si>
    <t>孔周玲</t>
  </si>
  <si>
    <t>7493473312984154116</t>
  </si>
  <si>
    <t>刘爱琳</t>
  </si>
  <si>
    <t>7493473399785127939</t>
  </si>
  <si>
    <t>吴小凤</t>
  </si>
  <si>
    <t>7493471612730294274</t>
  </si>
  <si>
    <t>湛雨欣</t>
  </si>
  <si>
    <t>7500839187097157635</t>
  </si>
  <si>
    <t>王娟</t>
  </si>
  <si>
    <t>7494209091369910274</t>
  </si>
  <si>
    <t>吴楠</t>
  </si>
  <si>
    <t>7494209198841430018</t>
  </si>
  <si>
    <t>肖茜</t>
  </si>
  <si>
    <t>7494204620280135684</t>
  </si>
  <si>
    <t>冯香香</t>
  </si>
  <si>
    <t>事业四部/项目一部/精品四组</t>
  </si>
  <si>
    <t>7494204467215089692</t>
  </si>
  <si>
    <t>吴雅丽</t>
  </si>
  <si>
    <t>7621365517504220370</t>
  </si>
  <si>
    <t>杨宇杰</t>
  </si>
  <si>
    <t>7622850969063247044</t>
  </si>
  <si>
    <t>董雪彬</t>
  </si>
  <si>
    <t>7497147034415038465</t>
  </si>
  <si>
    <t>肖林怡</t>
  </si>
  <si>
    <t>长沙</t>
  </si>
  <si>
    <t>7497145357098090515</t>
  </si>
  <si>
    <t>李娇</t>
  </si>
  <si>
    <t>7496725650204672019</t>
  </si>
  <si>
    <t>罗滨</t>
  </si>
  <si>
    <t>股东会</t>
  </si>
  <si>
    <t>7494098737261248531</t>
  </si>
  <si>
    <t>罗鑫</t>
  </si>
  <si>
    <t>7494498077590454274</t>
  </si>
  <si>
    <t>罗珊</t>
  </si>
  <si>
    <t>许凌云</t>
  </si>
  <si>
    <t>7498954179145105411</t>
  </si>
  <si>
    <t>王朋</t>
  </si>
  <si>
    <t>全勤</t>
  </si>
  <si>
    <t>7494538783617581060</t>
  </si>
  <si>
    <t>吴伟君</t>
  </si>
  <si>
    <t>服务部</t>
  </si>
  <si>
    <t>王杏花</t>
  </si>
  <si>
    <t>保洁</t>
  </si>
  <si>
    <t>林玉</t>
  </si>
  <si>
    <t>/</t>
  </si>
  <si>
    <t>许杰伍</t>
  </si>
  <si>
    <t>7493462600429862915</t>
  </si>
  <si>
    <t>王红明</t>
  </si>
  <si>
    <t>全勤；代扣刘连云基础工资2010元</t>
  </si>
  <si>
    <t>刘连云</t>
  </si>
  <si>
    <t>基础工资2010元，缴纳社保费单位和个人部分1621.79元由公司承担，基础工资2010从王红明工资里代扣</t>
  </si>
  <si>
    <t>7494216929247313921</t>
  </si>
  <si>
    <t>文再文</t>
  </si>
  <si>
    <t>广州</t>
  </si>
  <si>
    <t>7494215519933300755</t>
  </si>
  <si>
    <t>夏笑声</t>
  </si>
  <si>
    <t>7494102974101569540</t>
  </si>
  <si>
    <t>黄伟胜</t>
  </si>
  <si>
    <t>序号</t>
  </si>
  <si>
    <t>扣款部分</t>
  </si>
  <si>
    <t>加班总时长/小时</t>
  </si>
  <si>
    <t>社保</t>
  </si>
  <si>
    <t>公积金</t>
  </si>
  <si>
    <t>水电费</t>
  </si>
  <si>
    <t>04-01 星期三</t>
  </si>
  <si>
    <t>04-02 星期四</t>
  </si>
  <si>
    <t>04-03 星期五</t>
  </si>
  <si>
    <t>04-04 星期六</t>
  </si>
  <si>
    <t>04-05 星期日</t>
  </si>
  <si>
    <t>04-06 星期一</t>
  </si>
  <si>
    <t>04-07 星期二</t>
  </si>
  <si>
    <t>04-08 星期三</t>
  </si>
  <si>
    <t>04-09 星期四</t>
  </si>
  <si>
    <t>04-10 星期五</t>
  </si>
  <si>
    <t>04-11 星期六</t>
  </si>
  <si>
    <t>04-12 星期日</t>
  </si>
  <si>
    <t>04-13 星期一</t>
  </si>
  <si>
    <t>04-14 星期二</t>
  </si>
  <si>
    <t>04-15 星期三</t>
  </si>
  <si>
    <t>04-16 星期四</t>
  </si>
  <si>
    <t>04-17 星期五</t>
  </si>
  <si>
    <t>04-18 星期六</t>
  </si>
  <si>
    <t>04-19 星期日</t>
  </si>
  <si>
    <t>04-20 星期一</t>
  </si>
  <si>
    <t>04-21 星期二</t>
  </si>
  <si>
    <t>04-22 星期三</t>
  </si>
  <si>
    <t>04-23 星期四</t>
  </si>
  <si>
    <t>04-24 星期五</t>
  </si>
  <si>
    <t>04-25 星期六</t>
  </si>
  <si>
    <t>04-26 星期日</t>
  </si>
  <si>
    <t>04-27 星期一</t>
  </si>
  <si>
    <t>04-28 星期二</t>
  </si>
  <si>
    <t>04-29 星期三</t>
  </si>
  <si>
    <t>04-30 星期四</t>
  </si>
  <si>
    <t>调休/天</t>
  </si>
  <si>
    <t>项目五部</t>
  </si>
  <si>
    <t>(09:00),(22:17)</t>
  </si>
  <si>
    <t>(08:59),(20:30)</t>
  </si>
  <si>
    <t>(09:00),(21:04)</t>
  </si>
  <si>
    <t>(09:00),(19:13)</t>
  </si>
  <si>
    <t>法定</t>
  </si>
  <si>
    <t>(08:52),(23:22)</t>
  </si>
  <si>
    <t>(09:00),(20:04)</t>
  </si>
  <si>
    <t>(09:00),(21:32)</t>
  </si>
  <si>
    <t>(08:58),(19:24)</t>
  </si>
  <si>
    <t>(08:58),(22:33)</t>
  </si>
  <si>
    <t>(08:59),(21:04)</t>
  </si>
  <si>
    <t>(09:00),(19:52)</t>
  </si>
  <si>
    <t>(08:59),(18:55)</t>
  </si>
  <si>
    <t>(09:00),(18:36)</t>
  </si>
  <si>
    <t>请假(-),请假(-);年假(09:00-12:30,14:00-18:30)</t>
  </si>
  <si>
    <t>(08:55),(19:01)</t>
  </si>
  <si>
    <t>(08:58),(19:11)</t>
  </si>
  <si>
    <t>(09:00),(18:46)</t>
  </si>
  <si>
    <t>(09:00),(18:56)</t>
  </si>
  <si>
    <t>(09:00),(19:30)</t>
  </si>
  <si>
    <t>(08:58),(21:04)</t>
  </si>
  <si>
    <t>(08:59),(21:25)</t>
  </si>
  <si>
    <t>(09:00),(20:08)</t>
  </si>
  <si>
    <t>全勤，年假 8小时(04/20 09:00-04/20 18:30)</t>
  </si>
  <si>
    <t>(08:55),(18:30)</t>
  </si>
  <si>
    <t>(08:56),(19:30)</t>
  </si>
  <si>
    <t>(08:56),(19:19)</t>
  </si>
  <si>
    <t>(08:55),(18:55)</t>
  </si>
  <si>
    <t>(08:53),(20:18)</t>
  </si>
  <si>
    <t>(08:50),(19:15)</t>
  </si>
  <si>
    <t>(08:52),(19:22)</t>
  </si>
  <si>
    <t>(08:52),(19:24)</t>
  </si>
  <si>
    <t>(08:55),(20:54)</t>
  </si>
  <si>
    <t>(08:54),(20:32)</t>
  </si>
  <si>
    <t>(08:55),(21:08)</t>
  </si>
  <si>
    <t>(08:51),(22:08)</t>
  </si>
  <si>
    <t>(08:54),(18:50)</t>
  </si>
  <si>
    <t>(08:54),(18:38)</t>
  </si>
  <si>
    <t>(08:55),(21:42)</t>
  </si>
  <si>
    <t>(08:53),(21:34)</t>
  </si>
  <si>
    <t>(08:53),(21:33)</t>
  </si>
  <si>
    <t>(08:54),(22:13)</t>
  </si>
  <si>
    <t>(08:55),(20:10)</t>
  </si>
  <si>
    <t>(08:52),(20:18)</t>
  </si>
  <si>
    <t>(08:53),(18:57)</t>
  </si>
  <si>
    <t>(08:54),(18:54)</t>
  </si>
  <si>
    <t>(08:58),(19:00)</t>
  </si>
  <si>
    <t>(08:59),(18:50)</t>
  </si>
  <si>
    <t>(08:57),(19:00)</t>
  </si>
  <si>
    <t>(08:55),(19:02)</t>
  </si>
  <si>
    <t>(08:59),(18:52)</t>
  </si>
  <si>
    <t>(08:58),(18:48)</t>
  </si>
  <si>
    <t>(09:00),(18:51)</t>
  </si>
  <si>
    <t>(08:57),(18:53)</t>
  </si>
  <si>
    <t>(08:57),(19:02)</t>
  </si>
  <si>
    <t>(08:58),(19:04)</t>
  </si>
  <si>
    <t>(08:59),(18:35)</t>
  </si>
  <si>
    <t>(08:56),(18:50)</t>
  </si>
  <si>
    <t>(08:57),(18:47)</t>
  </si>
  <si>
    <t>(08:58),(19:06)</t>
  </si>
  <si>
    <t>(08:59),(18:56)</t>
  </si>
  <si>
    <t>(08:59),(19:01)</t>
  </si>
  <si>
    <t>(08:59),(18:49)</t>
  </si>
  <si>
    <t>(08:59),(19:04)</t>
  </si>
  <si>
    <t>(08:59),(18:57)</t>
  </si>
  <si>
    <t>全勤，年假 8小时(04/01 09:00-04/01 18:30)</t>
  </si>
  <si>
    <t>(08:45),(18:31)</t>
  </si>
  <si>
    <t>(08:33),(18:31)</t>
  </si>
  <si>
    <t>(08:44),(18:31)</t>
  </si>
  <si>
    <t>(08:41),(18:31)</t>
  </si>
  <si>
    <t>(08:45),(18:33)</t>
  </si>
  <si>
    <t>(08:41),(18:33)</t>
  </si>
  <si>
    <t>(08:37),(18:32)</t>
  </si>
  <si>
    <t>请假(-),请假(-);事假(09:00-12:30,14:00-18:30)</t>
  </si>
  <si>
    <t>(08:39),(18:31)</t>
  </si>
  <si>
    <t>(08:38),(18:31)</t>
  </si>
  <si>
    <t>(08:35),(18:31)</t>
  </si>
  <si>
    <t>(08:48),离职日(18:30)</t>
  </si>
  <si>
    <t>-</t>
  </si>
  <si>
    <t>事假 8小时(04/10 09:00-04/10 18:30),18日离职</t>
  </si>
  <si>
    <t>(08:55),(18:57)</t>
  </si>
  <si>
    <t>(08:56),(18:59)</t>
  </si>
  <si>
    <t>(08:57),(18:43)</t>
  </si>
  <si>
    <t>(08:58),(18:31)</t>
  </si>
  <si>
    <t>(08:52),(18:46)</t>
  </si>
  <si>
    <t>(08:55),(18:44)</t>
  </si>
  <si>
    <t>(08:54),(18:44)</t>
  </si>
  <si>
    <t>(08:55),(19:13)</t>
  </si>
  <si>
    <t>(08:58),(18:57)</t>
  </si>
  <si>
    <t>(08:57),(18:54)</t>
  </si>
  <si>
    <t>(08:57),(19:01)</t>
  </si>
  <si>
    <t>(08:57),(18:37)</t>
  </si>
  <si>
    <t>(08:59),(19:31)</t>
  </si>
  <si>
    <t>(08:58),(18:32)</t>
  </si>
  <si>
    <t>(08:58),(19:14)</t>
  </si>
  <si>
    <t>(08:57),(18:52)</t>
  </si>
  <si>
    <t>(08:57),(18:57)</t>
  </si>
  <si>
    <t>(08:59),(18:30)</t>
  </si>
  <si>
    <t>(08:49),(18:58)</t>
  </si>
  <si>
    <t>(08:51),(18:58)</t>
  </si>
  <si>
    <t>(08:56),(18:51)</t>
  </si>
  <si>
    <t>(08:55),(18:34)</t>
  </si>
  <si>
    <t>全勤，年假 8小时(04/24 09:00-04/24 18:30)</t>
  </si>
  <si>
    <t>(08:55),(19:06)</t>
  </si>
  <si>
    <t>(08:51),(19:00)</t>
  </si>
  <si>
    <t>(08:53),(18:59)</t>
  </si>
  <si>
    <t>(08:57),(18:32)</t>
  </si>
  <si>
    <t>(08:50),(18:55)</t>
  </si>
  <si>
    <t>(08:54),(19:02)</t>
  </si>
  <si>
    <t>(08:50),(19:16)</t>
  </si>
  <si>
    <t>(08:50),(18:59)</t>
  </si>
  <si>
    <t>(08:50),(18:56)</t>
  </si>
  <si>
    <t>(08:51),(18:54)</t>
  </si>
  <si>
    <t>(08:54),(18:56)</t>
  </si>
  <si>
    <t>(08:53),(18:54)</t>
  </si>
  <si>
    <t>(08:54),(18:51)</t>
  </si>
  <si>
    <t>(08:43),(18:32)</t>
  </si>
  <si>
    <t>(08:49),(18:51)</t>
  </si>
  <si>
    <t>(08:53),(18:56)</t>
  </si>
  <si>
    <t>(08:53),(19:43)</t>
  </si>
  <si>
    <t>(08:50),(19:25)</t>
  </si>
  <si>
    <t>(08:52),(19:06)</t>
  </si>
  <si>
    <t>(08:48),(19:07)</t>
  </si>
  <si>
    <t>(08:56),(18:33)</t>
  </si>
  <si>
    <t>(08:27),(18:57)</t>
  </si>
  <si>
    <t>(08:12),(19:03)</t>
  </si>
  <si>
    <t>(08:17),(18:56)</t>
  </si>
  <si>
    <t>(08:11),(18:39)</t>
  </si>
  <si>
    <t>(08:15),(19:01)</t>
  </si>
  <si>
    <t>(08:16),(18:40)</t>
  </si>
  <si>
    <t>(08:12),(18:52)</t>
  </si>
  <si>
    <t>(08:11),(18:56)</t>
  </si>
  <si>
    <t>(08:14),(18:51)</t>
  </si>
  <si>
    <t>(08:20),(18:53)</t>
  </si>
  <si>
    <t>(08:11),(18:53)</t>
  </si>
  <si>
    <t>(08:18),(18:51)</t>
  </si>
  <si>
    <t>(08:14),(19:09)</t>
  </si>
  <si>
    <t>(08:31),(18:32)</t>
  </si>
  <si>
    <t>(08:13),(18:51)</t>
  </si>
  <si>
    <t>(08:09),(18:51)</t>
  </si>
  <si>
    <t>(08:19),(18:51)</t>
  </si>
  <si>
    <t>(08:25),(18:52)</t>
  </si>
  <si>
    <t>(08:03),(18:52)</t>
  </si>
  <si>
    <t>(08:06),(18:51)</t>
  </si>
  <si>
    <t>(08:05),(18:55)</t>
  </si>
  <si>
    <t>(08:15),(18:52)</t>
  </si>
  <si>
    <t>(07:57),(18:44)</t>
  </si>
  <si>
    <t>(08:52),(18:31)</t>
  </si>
  <si>
    <t>(08:53),(18:33)</t>
  </si>
  <si>
    <t>(13:54),(18:31);事假(09:00-12:30)</t>
  </si>
  <si>
    <t>(08:56),(18:32)</t>
  </si>
  <si>
    <t>(08:59),(18:32)</t>
  </si>
  <si>
    <t>(08:54),(18:33)</t>
  </si>
  <si>
    <t>(08:55),(12:50);年假(14:00-18:30)</t>
  </si>
  <si>
    <t>迟到1分钟(09:01),(18:33)</t>
  </si>
  <si>
    <t>(09:00),(18:32)</t>
  </si>
  <si>
    <t>(08:59),(18:31)</t>
  </si>
  <si>
    <t>(08:55),(18:32)</t>
  </si>
  <si>
    <t>(09:00),(18:34)</t>
  </si>
  <si>
    <t>迟到4分钟(09:04),(18:31)</t>
  </si>
  <si>
    <t>(08:56),(18:31)</t>
  </si>
  <si>
    <t>事假 3.5小时(04/04 09:00-04/04 12:30);年假 4.5小时(04/10 14:00-04/10 18:30)，迟到2次共5分钟</t>
  </si>
  <si>
    <t>(09:00),(19:47)</t>
  </si>
  <si>
    <t>(08:57),(19:51)</t>
  </si>
  <si>
    <t>缺卡(-),(20:17)</t>
  </si>
  <si>
    <t>(08:58),(19:16)</t>
  </si>
  <si>
    <t>(08:59),(19:48)</t>
  </si>
  <si>
    <t>(08:57),(20:35)</t>
  </si>
  <si>
    <t>(08:58),(20:56)</t>
  </si>
  <si>
    <t>(08:58),(19:56)</t>
  </si>
  <si>
    <t>(09:00),(19:20)</t>
  </si>
  <si>
    <t>(08:59),(19:16)</t>
  </si>
  <si>
    <t>(08:59),(21:13)</t>
  </si>
  <si>
    <t>(08:59),(19:37)</t>
  </si>
  <si>
    <t>(09:00),(20:01)</t>
  </si>
  <si>
    <t>迟到1分钟(09:01),缺卡(-)</t>
  </si>
  <si>
    <t>(08:59),(18:47)</t>
  </si>
  <si>
    <t>(08:57),(19:07)</t>
  </si>
  <si>
    <t>(08:59),(19:15)</t>
  </si>
  <si>
    <t>(09:00),(21:11)</t>
  </si>
  <si>
    <t>(08:58),(19:10)</t>
  </si>
  <si>
    <t>(09:00),(18:55)</t>
  </si>
  <si>
    <t>(08:59),(20:17)</t>
  </si>
  <si>
    <t>缺卡2次，迟到1分钟</t>
  </si>
  <si>
    <t>人事行政部</t>
  </si>
  <si>
    <t>请假(-),请假(-);产假(全天)</t>
  </si>
  <si>
    <t>(08:50),早退45分钟(17:45)</t>
  </si>
  <si>
    <t>(08:54),早退52分钟(17:38)</t>
  </si>
  <si>
    <t>(08:50),早退58分钟(17:32)</t>
  </si>
  <si>
    <t>(08:52),早退51分钟(17:39)</t>
  </si>
  <si>
    <t>(08:50),早退41分钟(17:49)</t>
  </si>
  <si>
    <t>(08:51),早退51分钟(17:39)</t>
  </si>
  <si>
    <t>(08:49),早退56分钟(17:34)</t>
  </si>
  <si>
    <t>(08:53),早退59分钟(17:31)</t>
  </si>
  <si>
    <t>(08:51),早退55分钟(17:35)</t>
  </si>
  <si>
    <t>(08:47),早退57分钟(17:33)</t>
  </si>
  <si>
    <t>(08:55),早退56分钟(17:34)</t>
  </si>
  <si>
    <t>(08:45),早退48分钟(17:42)</t>
  </si>
  <si>
    <t>(08:48),早退56分钟(17:34)</t>
  </si>
  <si>
    <t>(08:58),早退60分钟(17:30)</t>
  </si>
  <si>
    <t>(08:58),早退56分钟(17:34)</t>
  </si>
  <si>
    <t>(08:53),早退56分钟(17:34)</t>
  </si>
  <si>
    <t>(08:56),早退53分钟(17:37)</t>
  </si>
  <si>
    <t>本月1-5号产假共5天;年假 8小时(04/23 09:00-04/23 18:30)，按人力行政制度哺乳未满1周岁的孩童每天享有1小时哺乳假。</t>
  </si>
  <si>
    <t>(08:48),(18:32)</t>
  </si>
  <si>
    <t>(08:46),(18:32)</t>
  </si>
  <si>
    <t>(08:57),(13:36);事假(14:00-18:30)</t>
  </si>
  <si>
    <t>(08:53),(18:32)</t>
  </si>
  <si>
    <t>(08:47),(18:32)</t>
  </si>
  <si>
    <t>(08:50),(19:05)</t>
  </si>
  <si>
    <t>(08:50),(19:31)</t>
  </si>
  <si>
    <t>(08:50),(19:40)</t>
  </si>
  <si>
    <t>(08:33),(18:48)</t>
  </si>
  <si>
    <t>(08:43),(18:31)</t>
  </si>
  <si>
    <t>(08:42),(18:36)</t>
  </si>
  <si>
    <t>(08:42),(18:34)</t>
  </si>
  <si>
    <t>(08:47),(18:33)</t>
  </si>
  <si>
    <t>(08:49),(18:32)</t>
  </si>
  <si>
    <t>(08:54),(18:32)</t>
  </si>
  <si>
    <t>事假 4.5小时(04/04 14:00-04/04 18:30)</t>
  </si>
  <si>
    <t>(09:00),(20:09)</t>
  </si>
  <si>
    <t>(08:58),(21:09)</t>
  </si>
  <si>
    <t>(08:57),(21:01)</t>
  </si>
  <si>
    <t>(08:57),(21:04)</t>
  </si>
  <si>
    <t>(08:56),(21:02)</t>
  </si>
  <si>
    <t>(08:52),(20:04)</t>
  </si>
  <si>
    <t>(09:00),(20:32)</t>
  </si>
  <si>
    <t>(08:59),(20:38)</t>
  </si>
  <si>
    <t>休息打卡(13:16,18:32);加班(14:00-18:30)后调休</t>
  </si>
  <si>
    <t>(09:00),(18:30)</t>
  </si>
  <si>
    <t>(08:53),(21:01)</t>
  </si>
  <si>
    <t>(08:59),(18:48)</t>
  </si>
  <si>
    <t>(08:59),(21:02)</t>
  </si>
  <si>
    <t>(08:52),(20:07)</t>
  </si>
  <si>
    <t>(08:59),(19:40)</t>
  </si>
  <si>
    <t>(08:58),(21:00)</t>
  </si>
  <si>
    <t>(08:53),(21:02)</t>
  </si>
  <si>
    <t>(09:00),(20:06)</t>
  </si>
  <si>
    <t>(08:59),(20:42)</t>
  </si>
  <si>
    <t>全勤，加班 4.5小时后调休(04/11 14:00-04/11 18:30)</t>
  </si>
  <si>
    <t>(08:59),(20:08)</t>
  </si>
  <si>
    <t>(09:00),(21:10)</t>
  </si>
  <si>
    <t>(08:58),(21:01)</t>
  </si>
  <si>
    <t>(09:00),(20:33)</t>
  </si>
  <si>
    <t>(08:58),(20:38)</t>
  </si>
  <si>
    <t>(09:00),(19:04)</t>
  </si>
  <si>
    <t>(08:51),(18:47)</t>
  </si>
  <si>
    <t>(08:58),(18:36)</t>
  </si>
  <si>
    <t>(08:57),(18:30)</t>
  </si>
  <si>
    <t>(08:59),(18:33)</t>
  </si>
  <si>
    <t>(09:00),(21:00)</t>
  </si>
  <si>
    <t>(09:00),(21:02)</t>
  </si>
  <si>
    <t>(08:58),(18:35)</t>
  </si>
  <si>
    <t>(09:00),(21:01)</t>
  </si>
  <si>
    <t>(09:00),(20:05)</t>
  </si>
  <si>
    <t>(09:00),(18:53)</t>
  </si>
  <si>
    <t>全勤，年假 8小时(04/18 09:00-04/18 18:30)</t>
  </si>
  <si>
    <t>(08:57),(18:33)</t>
  </si>
  <si>
    <t>(08:51),(18:33);外出(14:00-18:30)</t>
  </si>
  <si>
    <t>(08:55),(18:33)</t>
  </si>
  <si>
    <t>(08:54),(18:34)</t>
  </si>
  <si>
    <t>(08:58),(18:34)</t>
  </si>
  <si>
    <t>(08:57),(18:35)</t>
  </si>
  <si>
    <t>(08:51),(18:33)</t>
  </si>
  <si>
    <t>(08:57),(18:34)</t>
  </si>
  <si>
    <t>(08:56),(18:48);外出(12:00-18:30)</t>
  </si>
  <si>
    <t>(08:58),(18:54)</t>
  </si>
  <si>
    <t>(08:57),(18:45)</t>
  </si>
  <si>
    <t>全勤，外出 4.5小时(04/03 14:00-04/03 18:30);外出 6.5小时(04/22 12:00-04/22 18:30);年假 8小时(04/24 09:00-04/24 18:30)</t>
  </si>
  <si>
    <t>项目七部</t>
  </si>
  <si>
    <t>(08:50),(20:31)</t>
  </si>
  <si>
    <t>(08:49),(20:31)</t>
  </si>
  <si>
    <t>(08:52),(20:01)</t>
  </si>
  <si>
    <t>(08:58),(18:39)</t>
  </si>
  <si>
    <t>(08:52),(20:10)</t>
  </si>
  <si>
    <t>(08:50),(20:07)</t>
  </si>
  <si>
    <t>(08:51),(20:07)</t>
  </si>
  <si>
    <t>(08:48),(20:08)</t>
  </si>
  <si>
    <t>(08:48),(20:07)</t>
  </si>
  <si>
    <t>(08:47),(20:07)</t>
  </si>
  <si>
    <t>(08:52),(20:08)</t>
  </si>
  <si>
    <t>(08:51),(20:31)</t>
  </si>
  <si>
    <t>(08:51),(20:33)</t>
  </si>
  <si>
    <t>(08:51),(18:46)</t>
  </si>
  <si>
    <t>(08:51),(20:08)</t>
  </si>
  <si>
    <t>(08:48),(20:15)</t>
  </si>
  <si>
    <t>(08:50),(20:03)</t>
  </si>
  <si>
    <t>(08:57),(20:05)</t>
  </si>
  <si>
    <t>(08:50),(19:33)</t>
  </si>
  <si>
    <t>(08:51),(20:03)</t>
  </si>
  <si>
    <t>(08:51),(19:36)</t>
  </si>
  <si>
    <t>(08:56),(20:03)</t>
  </si>
  <si>
    <t>(09:00),(20:03)</t>
  </si>
  <si>
    <t>(08:59),(20:03)</t>
  </si>
  <si>
    <t>(08:59),(20:00)</t>
  </si>
  <si>
    <t>(09:00),(18:35)</t>
  </si>
  <si>
    <t>(08:59),(20:10)</t>
  </si>
  <si>
    <t>迟到1分钟(09:01),(20:04)</t>
  </si>
  <si>
    <t>(08:59),(20:02)</t>
  </si>
  <si>
    <t>迟到2分钟(09:02),(20:03)</t>
  </si>
  <si>
    <t>(08:59),(20:04)</t>
  </si>
  <si>
    <t>(08:59),(20:07)</t>
  </si>
  <si>
    <t>(08:59),(20:32)</t>
  </si>
  <si>
    <t>(09:00),(18:47)</t>
  </si>
  <si>
    <t>(09:00),(20:30)</t>
  </si>
  <si>
    <t>(09:00),(19:35)</t>
  </si>
  <si>
    <t>(09:00),(19:38)</t>
  </si>
  <si>
    <t>迟到1分钟(09:01),(20:13)</t>
  </si>
  <si>
    <t>事假(09:00-12:30)；(13:55),(18:43)</t>
  </si>
  <si>
    <t>30日事假(09:00-12:30)，迟到4次共5分钟</t>
  </si>
  <si>
    <t>(08:58),(20:00)</t>
  </si>
  <si>
    <t>(08:56),(18:57)</t>
  </si>
  <si>
    <t>(08:58),(20:01)</t>
  </si>
  <si>
    <t>(08:56),(20:01)</t>
  </si>
  <si>
    <t>(08:59),(18:38)</t>
  </si>
  <si>
    <t>(08:57),(20:01)</t>
  </si>
  <si>
    <t>(08:58),(20:05)</t>
  </si>
  <si>
    <t>(08:58),(20:31)</t>
  </si>
  <si>
    <t>(08:57),(20:32)</t>
  </si>
  <si>
    <t>(08:58),(20:30)</t>
  </si>
  <si>
    <t>(08:57),(20:31)</t>
  </si>
  <si>
    <t>(08:54),(20:01)</t>
  </si>
  <si>
    <t>(08:55),(20:00)</t>
  </si>
  <si>
    <t>(08:57),(19:32)</t>
  </si>
  <si>
    <t>(08:52),(19:31)</t>
  </si>
  <si>
    <t>(08:50),(20:01)</t>
  </si>
  <si>
    <t>(08:54),(20:03)</t>
  </si>
  <si>
    <t>(08:55),(20:04)</t>
  </si>
  <si>
    <t>(08:55),(20:01)</t>
  </si>
  <si>
    <t>(08:51),(18:35)</t>
  </si>
  <si>
    <t>(08:54),(20:04)</t>
  </si>
  <si>
    <t>迟到6分钟(09:06),(20:02)</t>
  </si>
  <si>
    <t>(08:57),(20:03)</t>
  </si>
  <si>
    <t>(08:50),(20:05)</t>
  </si>
  <si>
    <t>(09:00),(20:07)</t>
  </si>
  <si>
    <t>(08:57),(20:33)</t>
  </si>
  <si>
    <t>(08:44),(18:47)</t>
  </si>
  <si>
    <t>(08:44),(12:32);年假(14:00-18:30)</t>
  </si>
  <si>
    <t>(08:33),(20:31)</t>
  </si>
  <si>
    <t>(08:46),(20:32)</t>
  </si>
  <si>
    <t>(08:43),(20:05)</t>
  </si>
  <si>
    <t>(08:36),(19:36)</t>
  </si>
  <si>
    <t>(08:56),(20:04)</t>
  </si>
  <si>
    <t>(08:43),(20:31)</t>
  </si>
  <si>
    <t>(08:47),(20:31)</t>
  </si>
  <si>
    <t>(08:53),(18:43)</t>
  </si>
  <si>
    <t>事假 8小时(04/07 09:00-04/07 18:30);年假 4.5小时(04/20 14:00-04/20 18:30)，迟到6分钟</t>
  </si>
  <si>
    <t>项目一部（精1、2组）</t>
  </si>
  <si>
    <t>(08:45),(18:42)</t>
  </si>
  <si>
    <t>(08:40),(18:57)</t>
  </si>
  <si>
    <t>(08:46),(18:34)</t>
  </si>
  <si>
    <t>(08:22),(18:51)</t>
  </si>
  <si>
    <t>(08:33),(18:34)</t>
  </si>
  <si>
    <t>(08:47),(18:35)</t>
  </si>
  <si>
    <t>(08:40),(18:33)</t>
  </si>
  <si>
    <t>(08:41),(18:38)</t>
  </si>
  <si>
    <t>(08:43),(18:34)</t>
  </si>
  <si>
    <t>(08:33),(18:35)</t>
  </si>
  <si>
    <t>(08:40),(18:35)</t>
  </si>
  <si>
    <t>(08:37),(18:40)</t>
  </si>
  <si>
    <t>(08:26),(18:45)</t>
  </si>
  <si>
    <t>(08:50),(18:34)</t>
  </si>
  <si>
    <t>(08:43),(18:35)</t>
  </si>
  <si>
    <t>(08:42),(19:05)</t>
  </si>
  <si>
    <t>(08:44),(18:36)</t>
  </si>
  <si>
    <t>(08:42),(13:04);年假(14:00-18:30)</t>
  </si>
  <si>
    <t>(08:39),(18:58)</t>
  </si>
  <si>
    <t>全勤，年假 4.5小时(04/24 14:00-04/24 18:30)</t>
  </si>
  <si>
    <t>(09:00),(19:24)</t>
  </si>
  <si>
    <t>(09:00),外勤(18:54);外出(14:00-18:30)</t>
  </si>
  <si>
    <t>(09:00),(20:34)</t>
  </si>
  <si>
    <t>(08:58),(18:52)</t>
  </si>
  <si>
    <t>(08:59),(19:17)</t>
  </si>
  <si>
    <t>(08:59),外勤(18:40);外出(14:00-18:30)</t>
  </si>
  <si>
    <t>(08:59),(19:18)</t>
  </si>
  <si>
    <t>(09:00),(18:57)</t>
  </si>
  <si>
    <t>(09:00),(19:08)</t>
  </si>
  <si>
    <t>(09:00),(19:01)</t>
  </si>
  <si>
    <t>(09:00),(19:12)</t>
  </si>
  <si>
    <t>(08:59),(19:09)</t>
  </si>
  <si>
    <t>(08:59),(19:26)</t>
  </si>
  <si>
    <t>(08:58),(19:17)</t>
  </si>
  <si>
    <t>(09:00),(19:03)</t>
  </si>
  <si>
    <t>(08:59),(19:06)</t>
  </si>
  <si>
    <t>(08:59),(19:10)</t>
  </si>
  <si>
    <t>(08:59),(18:53)</t>
  </si>
  <si>
    <t>全勤，外出 4.5小时(04/02 14:00-04/02 18:30);外出 4.5小时(04/08 14:00-04/08 18:30);年假 8小时(04/18 09:00-04/18 18:30)</t>
  </si>
  <si>
    <t>(08:42),(19:01)</t>
  </si>
  <si>
    <t>(08:40),(20:30)</t>
  </si>
  <si>
    <t>(08:40),(19:00)</t>
  </si>
  <si>
    <t>(08:41),缺卡(-);外出(14:00-18:30)</t>
  </si>
  <si>
    <t>(08:40),(19:16)</t>
  </si>
  <si>
    <t>(08:49),(18:56)</t>
  </si>
  <si>
    <t>(08:50),(18:45)</t>
  </si>
  <si>
    <t>(08:47),(18:49)</t>
  </si>
  <si>
    <t>(08:45),(18:43)</t>
  </si>
  <si>
    <t>(08:49),(18:59)</t>
  </si>
  <si>
    <t>(08:43),(19:01)</t>
  </si>
  <si>
    <t>(08:48),(18:49)</t>
  </si>
  <si>
    <t>(08:42),(18:55)</t>
  </si>
  <si>
    <t>(08:39),(18:54)</t>
  </si>
  <si>
    <t>(08:42),(19:22)</t>
  </si>
  <si>
    <t>(08:53),(18:40)</t>
  </si>
  <si>
    <t>(08:44),(19:03)</t>
  </si>
  <si>
    <t>(08:47),(19:07)</t>
  </si>
  <si>
    <t>(08:46),(18:48)</t>
  </si>
  <si>
    <t>(08:45),(19:12)</t>
  </si>
  <si>
    <t>(08:46),(18:56)</t>
  </si>
  <si>
    <t>事假 8小时(04/04 09:00-04/04 18:30);外出 4.5小时(04/08 14:00-04/08 18:30)，缺卡1次</t>
  </si>
  <si>
    <t>(08:35),(19:18)</t>
  </si>
  <si>
    <t>(08:35),早退270分钟(12:34);外出(14:00-18:30)</t>
  </si>
  <si>
    <t>(08:38),(20:39)</t>
  </si>
  <si>
    <t>(08:05),(18:54)</t>
  </si>
  <si>
    <t>(08:41),(20:34)</t>
  </si>
  <si>
    <t>(08:36),(18:53)</t>
  </si>
  <si>
    <t>(08:31),(20:04)</t>
  </si>
  <si>
    <t>(08:38),(20:03)</t>
  </si>
  <si>
    <t>(08:33),(19:01)</t>
  </si>
  <si>
    <t>(08:36),(19:03)</t>
  </si>
  <si>
    <t>(08:42),(20:05)</t>
  </si>
  <si>
    <t>(08:19),(20:17)</t>
  </si>
  <si>
    <t>(08:27),(18:59)</t>
  </si>
  <si>
    <t>(08:36),(18:57)</t>
  </si>
  <si>
    <t>(08:26),(20:02)</t>
  </si>
  <si>
    <t>(08:33),(19:07)</t>
  </si>
  <si>
    <t>(08:34),(19:03)</t>
  </si>
  <si>
    <t>(08:35),(19:07)</t>
  </si>
  <si>
    <t>(08:27),(14:07);年假(14:00-18:30)</t>
  </si>
  <si>
    <t>(14:00),(20:07);年假(09:00-12:30)</t>
  </si>
  <si>
    <t>全勤，外出 4.5小时(04/02 14:00-04/02 18:30);年假 12.5小时(04/27 14:00-04/28 18:30);年假 11.5小时(04/29 09:00-04/30 12:30)</t>
  </si>
  <si>
    <t>(08:46),(18:44)</t>
  </si>
  <si>
    <t>(08:45),(18:57)</t>
  </si>
  <si>
    <t>(08:45),(18:58)</t>
  </si>
  <si>
    <t>(08:41),(18:45)</t>
  </si>
  <si>
    <t>(08:48),(19:14)</t>
  </si>
  <si>
    <t>(08:42),(19:06)</t>
  </si>
  <si>
    <t>(08:42),(18:50)</t>
  </si>
  <si>
    <t>(08:47),(18:50)</t>
  </si>
  <si>
    <t>(08:44),(18:55)</t>
  </si>
  <si>
    <t>(08:47),(19:10)</t>
  </si>
  <si>
    <t>(08:49),(19:03)</t>
  </si>
  <si>
    <t>(08:52),(18:58)</t>
  </si>
  <si>
    <t>(08:43),(18:30)</t>
  </si>
  <si>
    <t>(08:41),(18:35)</t>
  </si>
  <si>
    <t>(08:46),(18:40)</t>
  </si>
  <si>
    <t>(08:51),(18:53)</t>
  </si>
  <si>
    <t>(08:46),(19:08)</t>
  </si>
  <si>
    <t>(08:42),(19:00)</t>
  </si>
  <si>
    <t>(08:45),(18:44)</t>
  </si>
  <si>
    <t>(08:40),(18:56)</t>
  </si>
  <si>
    <t>(08:47),(19:40)</t>
  </si>
  <si>
    <t>(08:49),(19:43)</t>
  </si>
  <si>
    <t>(08:46),(20:56)</t>
  </si>
  <si>
    <t>(08:56),(18:41)</t>
  </si>
  <si>
    <t>(08:55),(18:35)</t>
  </si>
  <si>
    <t>(08:51),(18:57)</t>
  </si>
  <si>
    <t>(08:52),(18:30)</t>
  </si>
  <si>
    <t>(08:56),(18:37)</t>
  </si>
  <si>
    <t>(08:53),(18:34)</t>
  </si>
  <si>
    <t>(08:59),(18:36)</t>
  </si>
  <si>
    <t>(08:57),(18:36)</t>
  </si>
  <si>
    <t>(08:59),(18:39)</t>
  </si>
  <si>
    <t>(08:54),(19:01)</t>
  </si>
  <si>
    <t>(08:53),(18:31)</t>
  </si>
  <si>
    <t>(08:56),(18:35)</t>
  </si>
  <si>
    <t>(08:58),(19:19)</t>
  </si>
  <si>
    <t>(08:56),(18:45)</t>
  </si>
  <si>
    <t>(13:57),(18:31);年假(09:00-12:30)</t>
  </si>
  <si>
    <t>(08:54),(18:30)</t>
  </si>
  <si>
    <t>(08:50),(18:31)</t>
  </si>
  <si>
    <t>全勤，年假 3.5小时(04/28 09:00-04/28 12:30)</t>
  </si>
  <si>
    <t>项目三部</t>
  </si>
  <si>
    <t>(08:33),(18:59)</t>
  </si>
  <si>
    <t>(08:27),(18:43)</t>
  </si>
  <si>
    <t>(08:16),(18:34)</t>
  </si>
  <si>
    <t>(08:47),(18:37)</t>
  </si>
  <si>
    <t>(08:45),(18:39)</t>
  </si>
  <si>
    <t>(08:45),(18:38)</t>
  </si>
  <si>
    <t>(08:34),(18:52)</t>
  </si>
  <si>
    <t>(08:47),(18:39)</t>
  </si>
  <si>
    <t>(08:31),(18:33)</t>
  </si>
  <si>
    <t>(08:50),(18:37)</t>
  </si>
  <si>
    <t>(08:34),外勤(18:51);外出(15:00-18:30)</t>
  </si>
  <si>
    <t>(08:49),(18:36)</t>
  </si>
  <si>
    <t>(08:42),(18:40)</t>
  </si>
  <si>
    <t>(08:37),(18:47)</t>
  </si>
  <si>
    <t>(08:32),(18:35)</t>
  </si>
  <si>
    <t>(08:34),(18:36)</t>
  </si>
  <si>
    <t>(08:49),(18:39)</t>
  </si>
  <si>
    <t>(08:59),(18:34)</t>
  </si>
  <si>
    <t>(08:52),(18:34)</t>
  </si>
  <si>
    <t>全勤，年假 8小时(04/02 09:00-04/02 18:30);外出 3.5小时(04/17 15:00-04/17 18:30)</t>
  </si>
  <si>
    <t>(08:51),(19:01)</t>
  </si>
  <si>
    <t>(08:52),(18:50)</t>
  </si>
  <si>
    <t>(08:50),(18:40)</t>
  </si>
  <si>
    <t>(08:53),(18:37)</t>
  </si>
  <si>
    <t>(08:49),(18:47)</t>
  </si>
  <si>
    <t>(08:48),(18:48)</t>
  </si>
  <si>
    <t>(08:47),(18:48)</t>
  </si>
  <si>
    <t>(08:49),(18:45)</t>
  </si>
  <si>
    <t>(08:53),(18:45)</t>
  </si>
  <si>
    <t>(08:49),(18:46)</t>
  </si>
  <si>
    <t>(08:51),(18:39)</t>
  </si>
  <si>
    <t>(08:52),(18:44)</t>
  </si>
  <si>
    <t>(08:47),(18:51)</t>
  </si>
  <si>
    <t>(08:52),(19:01)</t>
  </si>
  <si>
    <t>(08:50),(18:46)</t>
  </si>
  <si>
    <t>(08:52),(18:49)</t>
  </si>
  <si>
    <t>(08:46),(18:45)</t>
  </si>
  <si>
    <t>(08:51),(18:40)</t>
  </si>
  <si>
    <t>(08:53),(12:38);事假(14:00-18:30)</t>
  </si>
  <si>
    <t>事假 12.5小时(04/29 14:00-04/30 18:30)</t>
  </si>
  <si>
    <t>(08:59),(19:05)</t>
  </si>
  <si>
    <t>(08:59),(18:51)</t>
  </si>
  <si>
    <t>(08:59),(19:03)</t>
  </si>
  <si>
    <t>(08:59),(18:45)</t>
  </si>
  <si>
    <t>(08:59),(18:54)</t>
  </si>
  <si>
    <t>(08:59),(18:44)</t>
  </si>
  <si>
    <t>(09:00),(18:33)</t>
  </si>
  <si>
    <t>(08:59),(18:40)</t>
  </si>
  <si>
    <t>(08:59),(18:37)</t>
  </si>
  <si>
    <t>全勤，年假 8小时(04/10 09:00-04/10 18:30)</t>
  </si>
  <si>
    <t>项目六部</t>
  </si>
  <si>
    <t>(08:59),(18:41)</t>
  </si>
  <si>
    <t>(08:59),(18:46)</t>
  </si>
  <si>
    <t>(09:00),(18:42)</t>
  </si>
  <si>
    <t>(08:57),(18:49)</t>
  </si>
  <si>
    <t>(09:00),(18:52)</t>
  </si>
  <si>
    <t>(09:00),(12:36);年假(14:00-18:30)</t>
  </si>
  <si>
    <t>(09:00),(18:38)</t>
  </si>
  <si>
    <t>(09:00),(19:14)</t>
  </si>
  <si>
    <t>(09:00),(18:49)</t>
  </si>
  <si>
    <t>(08:59),(19:55)</t>
  </si>
  <si>
    <t>(09:00),(18:37)</t>
  </si>
  <si>
    <t>全勤，年假 4.5小时(04/17 14:00-04/17 18:30)</t>
  </si>
  <si>
    <t>(08:59),(18:58)</t>
  </si>
  <si>
    <t>(08:58),(18:33)</t>
  </si>
  <si>
    <t>(08:58),(18:43)</t>
  </si>
  <si>
    <t>(08:57),(18:31)</t>
  </si>
  <si>
    <t>(09:00),(18:59)</t>
  </si>
  <si>
    <t>(08:56),(18:38)</t>
  </si>
  <si>
    <t>(09:00),(18:43)</t>
  </si>
  <si>
    <t>项目二部</t>
  </si>
  <si>
    <t>(08:54),(18:48)</t>
  </si>
  <si>
    <t>(08:52),(19:11)</t>
  </si>
  <si>
    <t>(08:55),(19:16)</t>
  </si>
  <si>
    <t>(08:54),(18:31)</t>
  </si>
  <si>
    <t>(08:54),(19:15)</t>
  </si>
  <si>
    <t>(08:55),(18:52)</t>
  </si>
  <si>
    <t>(08:52),(19:03)</t>
  </si>
  <si>
    <t>(08:53),(18:35)</t>
  </si>
  <si>
    <t>(08:52),(18:42)</t>
  </si>
  <si>
    <t>(08:51),(18:43)</t>
  </si>
  <si>
    <t>(08:50),(19:04)</t>
  </si>
  <si>
    <t>(08:53),(18:42)</t>
  </si>
  <si>
    <t>(08:48),(18:36)</t>
  </si>
  <si>
    <t>(08:52),(18:37)</t>
  </si>
  <si>
    <t>(08:46),(18:53)</t>
  </si>
  <si>
    <t>全勤，年假 8小时(04/22 09:00-04/22 18:30)</t>
  </si>
  <si>
    <t>(09:00),(19:00)</t>
  </si>
  <si>
    <t>(08:58),(19:05)</t>
  </si>
  <si>
    <t>(08:45),(18:55)</t>
  </si>
  <si>
    <t>(08:55),(18:31)</t>
  </si>
  <si>
    <t>(08:55),(18:38)</t>
  </si>
  <si>
    <t>(08:57),(18:40)</t>
  </si>
  <si>
    <t>(08:54),(18:42)</t>
  </si>
  <si>
    <t>(08:54),(18:35)</t>
  </si>
  <si>
    <t>(08:56),(18:42)</t>
  </si>
  <si>
    <t>(08:56),(18:53)</t>
  </si>
  <si>
    <t>(08:53),离职日(18:32)</t>
  </si>
  <si>
    <t>事假 8小时(04/24 09:00-04/24 18:30)，30日离职</t>
  </si>
  <si>
    <t>(08:50),(18:57)</t>
  </si>
  <si>
    <t>(08:49),(18:49)</t>
  </si>
  <si>
    <t>(08:51),(19:02)</t>
  </si>
  <si>
    <t>(08:46),(20:04)</t>
  </si>
  <si>
    <t>(08:53),(20:06)</t>
  </si>
  <si>
    <t>(08:47),(19:14)</t>
  </si>
  <si>
    <t>(08:53),(19:07)</t>
  </si>
  <si>
    <t>(08:52),(20:12)</t>
  </si>
  <si>
    <t>(08:54),(21:41)</t>
  </si>
  <si>
    <t>(08:54),(18:57)</t>
  </si>
  <si>
    <t>(08:55),(18:39)</t>
  </si>
  <si>
    <t>(08:51),(18:41)</t>
  </si>
  <si>
    <t>(08:53),(18:49)</t>
  </si>
  <si>
    <t>(08:54),(20:05)</t>
  </si>
  <si>
    <t>(08:54),(19:12)</t>
  </si>
  <si>
    <t>(08:46),(19:10)</t>
  </si>
  <si>
    <t>(08:56),(19:12)</t>
  </si>
  <si>
    <t>(08:57),(19:11)</t>
  </si>
  <si>
    <t>(08:48),(19:31)</t>
  </si>
  <si>
    <t>休息(-,-);产假(全天)</t>
  </si>
  <si>
    <t>产假 178天(01/05 上午-07/01 下午)</t>
  </si>
  <si>
    <t>事业三部</t>
  </si>
  <si>
    <t>(08:47),(18:40)</t>
  </si>
  <si>
    <t>(08:49),(18:37)</t>
  </si>
  <si>
    <t>(08:43),(18:38)</t>
  </si>
  <si>
    <t>(08:45),(18:40)</t>
  </si>
  <si>
    <t>(08:50),(18:36)</t>
  </si>
  <si>
    <t>(08:44),(18:40)</t>
  </si>
  <si>
    <t>(08:45),(18:37)</t>
  </si>
  <si>
    <t>(08:49),(18:35)</t>
  </si>
  <si>
    <t>(08:47),(18:34)</t>
  </si>
  <si>
    <t>(08:42),(18:45)</t>
  </si>
  <si>
    <t>(08:46),(18:50)</t>
  </si>
  <si>
    <t>(08:58),(18:38)</t>
  </si>
  <si>
    <t>(09:00),(18:31)</t>
  </si>
  <si>
    <t>(08:58),(18:46)</t>
  </si>
  <si>
    <t>事假 8小时(04/04 09:00-04/04 18:30);事假 8小时(04/24 09:00-04/24 18:30)</t>
  </si>
  <si>
    <t>请假(-),请假(-);病假(09:00-12:30,14:00-18:30)</t>
  </si>
  <si>
    <t>(08:55),(18:37)</t>
  </si>
  <si>
    <t>(08:58),(18:44)</t>
  </si>
  <si>
    <t>(08:47),(18:45)</t>
  </si>
  <si>
    <t>(08:48),(18:38)</t>
  </si>
  <si>
    <t>迟到2分钟(09:02),(18:53)</t>
  </si>
  <si>
    <t>(08:48),(18:35)</t>
  </si>
  <si>
    <t>缺卡(-),(18:39)</t>
  </si>
  <si>
    <t>(08:52),(18:48)</t>
  </si>
  <si>
    <t>迟到8分钟(09:08),(18:36)</t>
  </si>
  <si>
    <t>(08:53),(18:47)</t>
  </si>
  <si>
    <t>病假 32小时(04/01 09:00-04/04 18:30)，缺卡1次，迟到2次共10分钟</t>
  </si>
  <si>
    <t>项目十部</t>
  </si>
  <si>
    <t>(08:55),(20:34)</t>
  </si>
  <si>
    <t>(08:51),(18:32)</t>
  </si>
  <si>
    <t>(08:43),(20:11)</t>
  </si>
  <si>
    <t>(08:52),(20:37)</t>
  </si>
  <si>
    <t>(08:50),(20:16)</t>
  </si>
  <si>
    <t>(08:44),(20:05)</t>
  </si>
  <si>
    <t>(08:51),(20:14)</t>
  </si>
  <si>
    <t>(08:41),(21:02)</t>
  </si>
  <si>
    <t>(08:43),(20:32)</t>
  </si>
  <si>
    <t>(08:52),(20:09)</t>
  </si>
  <si>
    <t>(08:55),(20:03)</t>
  </si>
  <si>
    <t>(08:52),(21:36)</t>
  </si>
  <si>
    <t>(08:50),(19:37)</t>
  </si>
  <si>
    <t>(08:51),(20:06)</t>
  </si>
  <si>
    <t>(08:53),(20:32)</t>
  </si>
  <si>
    <t>(08:54),(19:20)</t>
  </si>
  <si>
    <t>(08:50),(18:33)</t>
  </si>
  <si>
    <t>(08:59),(18:42)</t>
  </si>
  <si>
    <t>迟到1分钟(09:01),(18:41)</t>
  </si>
  <si>
    <t>(08:57),(18:51)</t>
  </si>
  <si>
    <t>(08:58),(18:42)</t>
  </si>
  <si>
    <t>(08:56),(18:40)</t>
  </si>
  <si>
    <t>迟到2分钟(09:02),(18:42)</t>
  </si>
  <si>
    <t>迟到1分钟(09:01),(19:06)</t>
  </si>
  <si>
    <t>(09:00),(18:45)</t>
  </si>
  <si>
    <t>(08:59),(18:59)</t>
  </si>
  <si>
    <t>病假 8小时(04/21 09:00-04/21 18:30)，迟到3次共4分钟</t>
  </si>
  <si>
    <t>(08:54),(19:16)</t>
  </si>
  <si>
    <t>(08:53),(19:01)</t>
  </si>
  <si>
    <t>(08:54),(18:52)</t>
  </si>
  <si>
    <t>(08:55),(21:00)</t>
  </si>
  <si>
    <t>(08:56),(18:34)</t>
  </si>
  <si>
    <t>(08:55),(18:36)</t>
  </si>
  <si>
    <t>(08:57),(18:48);外出(12:00-18:30)</t>
  </si>
  <si>
    <t>(08:58),(18:59)</t>
  </si>
  <si>
    <t>(08:57),(19:06)</t>
  </si>
  <si>
    <t>全勤，外出 6.5小时(04/22 12:00-04/22 18:30)</t>
  </si>
  <si>
    <t>(08:50),(18:39)</t>
  </si>
  <si>
    <t>(08:50),(18:38)</t>
  </si>
  <si>
    <t>(08:49),(18:38)</t>
  </si>
  <si>
    <t>(08:45),(18:35)</t>
  </si>
  <si>
    <t>(08:45),(18:32)</t>
  </si>
  <si>
    <t>(08:49),(18:33)</t>
  </si>
  <si>
    <t>(08:51),(18:34)</t>
  </si>
  <si>
    <t>(08:44),(18:33)</t>
  </si>
  <si>
    <t>(08:47),(18:54)</t>
  </si>
  <si>
    <t>(08:46),(18:31)</t>
  </si>
  <si>
    <t>(08:58),(22:05)</t>
  </si>
  <si>
    <t>(08:36),(22:01)</t>
  </si>
  <si>
    <t>(08:58),(22:07)</t>
  </si>
  <si>
    <t>(08:57),(19:38)</t>
  </si>
  <si>
    <t>(08:42),(22:01)</t>
  </si>
  <si>
    <t>(08:52),(22:35)</t>
  </si>
  <si>
    <t>(08:42),(22:13)</t>
  </si>
  <si>
    <t>(08:51),(18:36)</t>
  </si>
  <si>
    <t>(08:52),(18:43)</t>
  </si>
  <si>
    <t>(08:53),(21:15)</t>
  </si>
  <si>
    <t>(08:47),(19:06)</t>
  </si>
  <si>
    <t>(08:39),(19:07)</t>
  </si>
  <si>
    <t>(08:45),(18:50)</t>
  </si>
  <si>
    <t>(09:00),(19:16)</t>
  </si>
  <si>
    <t>(08:54),(19:57)</t>
  </si>
  <si>
    <t>(08:58),(19:27)</t>
  </si>
  <si>
    <t>(08:38),(19:03)</t>
  </si>
  <si>
    <t>(08:53),(19:31)</t>
  </si>
  <si>
    <t>(08:44),(18:32)</t>
  </si>
  <si>
    <t>(08:41),(18:34)</t>
  </si>
  <si>
    <t>(08:50),(18:32)</t>
  </si>
  <si>
    <t>(08:54),(18:46)</t>
  </si>
  <si>
    <t>(08:42),(18:32)</t>
  </si>
  <si>
    <t>(08:38),(18:36)</t>
  </si>
  <si>
    <t>(08:48),(18:33)</t>
  </si>
  <si>
    <t>(08:45),(18:46)</t>
  </si>
  <si>
    <t>(08:47),(18:36)</t>
  </si>
  <si>
    <t>(08:45),(18:34)</t>
  </si>
  <si>
    <t>(08:47),(19:00)</t>
  </si>
  <si>
    <t>(08:53),(18:36)</t>
  </si>
  <si>
    <t>(08:46),(18:46)</t>
  </si>
  <si>
    <t>(08:51),(18:31)</t>
  </si>
  <si>
    <t>(08:53),(19:14)</t>
  </si>
  <si>
    <t>(08:48),(20:00)</t>
  </si>
  <si>
    <t>(08:52),(20:31)</t>
  </si>
  <si>
    <t>(08:50),(21:04)</t>
  </si>
  <si>
    <t>(08:53),(19:41)</t>
  </si>
  <si>
    <t>(08:50),(21:05)</t>
  </si>
  <si>
    <t>(08:52),(19:40)</t>
  </si>
  <si>
    <t>(08:45),(19:40)</t>
  </si>
  <si>
    <t>(08:48),(19:03)</t>
  </si>
  <si>
    <t>(08:50),(20:02)</t>
  </si>
  <si>
    <t>(08:49),(20:04)</t>
  </si>
  <si>
    <t>(08:54),(19:40)</t>
  </si>
  <si>
    <t>(08:52),(19:45)</t>
  </si>
  <si>
    <t>(08:51),(18:37)</t>
  </si>
  <si>
    <t>(08:50),(20:10)</t>
  </si>
  <si>
    <t>(08:54),(20:20)</t>
  </si>
  <si>
    <t>(08:53),(21:36)</t>
  </si>
  <si>
    <t>(08:52),(20:38)</t>
  </si>
  <si>
    <t>(08:55),(19:55);外出(10:30-12:00)</t>
  </si>
  <si>
    <t>(08:54),(19:21)</t>
  </si>
  <si>
    <t>(08:53),(20:13)</t>
  </si>
  <si>
    <t>全勤，外出 1.5小时(04/28 10:30-04/28 12:00)</t>
  </si>
  <si>
    <t>迟到1分钟(09:01),(18:31)</t>
  </si>
  <si>
    <t>迟到1分钟</t>
  </si>
  <si>
    <t>(08:36),(18:32)</t>
  </si>
  <si>
    <t>(08:34),(18:32)</t>
  </si>
  <si>
    <t>(08:40),(18:32)</t>
  </si>
  <si>
    <t>(08:36),(18:31)</t>
  </si>
  <si>
    <t>(08:37),(18:37)</t>
  </si>
  <si>
    <t>(08:42),(18:33)</t>
  </si>
  <si>
    <t>(08:35),(18:34)</t>
  </si>
  <si>
    <t>(08:39),(18:33)</t>
  </si>
  <si>
    <t>(08:47),(18:31)</t>
  </si>
  <si>
    <t>(08:41),(18:32)</t>
  </si>
  <si>
    <t>(08:35),(18:33)</t>
  </si>
  <si>
    <t>(08:37),(18:33)</t>
  </si>
  <si>
    <t>(08:34),(18:31)</t>
  </si>
  <si>
    <t>(08:36),(18:34)</t>
  </si>
  <si>
    <t>(08:38),(18:32)</t>
  </si>
  <si>
    <t>(08:40),(18:31)</t>
  </si>
  <si>
    <t>(08:39),(18:32)</t>
  </si>
  <si>
    <t>(08:38),(18:34)</t>
  </si>
  <si>
    <t>(08:43),(18:46)</t>
  </si>
  <si>
    <t>(08:52),(18:57)</t>
  </si>
  <si>
    <t>(09:00),(19:02)</t>
  </si>
  <si>
    <t>(13:43),(20:04);事假(09:00-12:30)</t>
  </si>
  <si>
    <t>(08:46),(20:06)</t>
  </si>
  <si>
    <t>(08:46),(19:34)</t>
  </si>
  <si>
    <t>(08:47),(18:44)</t>
  </si>
  <si>
    <t>(08:47),(18:46)</t>
  </si>
  <si>
    <t>(08:44),(20:13)</t>
  </si>
  <si>
    <t>(08:49),(20:10)</t>
  </si>
  <si>
    <t>(08:45),(18:41)</t>
  </si>
  <si>
    <t>(08:57),(18:46)</t>
  </si>
  <si>
    <t>(08:50),(20:06)</t>
  </si>
  <si>
    <t>(08:18),(18:50)</t>
  </si>
  <si>
    <t>(08:50),(19:10)</t>
  </si>
  <si>
    <t>(08:43),(19:11)</t>
  </si>
  <si>
    <t>(08:37),(18:45)</t>
  </si>
  <si>
    <t>事假 3.5小时(04/07 09:00-04/07 12:30);事假 8小时(04/16 09:00-04/16 18:30)</t>
  </si>
  <si>
    <t>(08:56),(18:55)</t>
  </si>
  <si>
    <t>(08:56),(18:36)</t>
  </si>
  <si>
    <t>(08:58),(18:41)</t>
  </si>
  <si>
    <t>(08:59),(20:06)</t>
  </si>
  <si>
    <t>(08:57),(19:34)</t>
  </si>
  <si>
    <t>(08:57),(20:08)</t>
  </si>
  <si>
    <t>(08:57),(20:09)</t>
  </si>
  <si>
    <t>(08:58),(18:56)</t>
  </si>
  <si>
    <t>(08:57),(18:38)</t>
  </si>
  <si>
    <t>(08:59),(20:05)</t>
  </si>
  <si>
    <t>(08:59),(19:12)</t>
  </si>
  <si>
    <t>(08:57),(19:13)</t>
  </si>
  <si>
    <t>(08:55),(18:48)</t>
  </si>
  <si>
    <t>(08:58),(19:09)</t>
  </si>
  <si>
    <t>(08:56),(19:07)</t>
  </si>
  <si>
    <t>(08:56),(19:04)</t>
  </si>
  <si>
    <t>(08:55),(19:19)</t>
  </si>
  <si>
    <t>(08:57),(19:20)</t>
  </si>
  <si>
    <t>(08:51),(19:51)</t>
  </si>
  <si>
    <t>(08:55),(19:29)</t>
  </si>
  <si>
    <t>(08:54),(19:53)</t>
  </si>
  <si>
    <t>(08:54),(20:42)</t>
  </si>
  <si>
    <t>(08:53),(20:16)</t>
  </si>
  <si>
    <t>(08:55),(18:53)</t>
  </si>
  <si>
    <t>(08:55),(19:04)</t>
  </si>
  <si>
    <t>(08:55),(19:26)</t>
  </si>
  <si>
    <t>(08:56),(19:33)</t>
  </si>
  <si>
    <t>(08:55),(19:21)</t>
  </si>
  <si>
    <t>(08:54),(19:13)</t>
  </si>
  <si>
    <t>(08:52),(18:36)</t>
  </si>
  <si>
    <t>(08:52),(18:32)</t>
  </si>
  <si>
    <t>(08:52),(18:33)</t>
  </si>
  <si>
    <t>(08:46),(19:06)</t>
  </si>
  <si>
    <t>(08:38),(19:01)</t>
  </si>
  <si>
    <t>(08:37),(18:39)</t>
  </si>
  <si>
    <t>(08:48),(19:18)</t>
  </si>
  <si>
    <t>(08:46),(18:52)</t>
  </si>
  <si>
    <t>(08:47),(18:55)</t>
  </si>
  <si>
    <t>(08:44),(18:46)</t>
  </si>
  <si>
    <t>(08:50),(18:44)</t>
  </si>
  <si>
    <t>(08:39),(19:09)</t>
  </si>
  <si>
    <t>(08:46),(18:43)</t>
  </si>
  <si>
    <t>(08:40),(19:02)</t>
  </si>
  <si>
    <t>(08:40),(18:36)</t>
  </si>
  <si>
    <t>(08:50),(18:48)</t>
  </si>
  <si>
    <t>(08:41),(19:00)</t>
  </si>
  <si>
    <t>(08:51),(18:49)</t>
  </si>
  <si>
    <t>入职日(09:35),(18:41)</t>
  </si>
  <si>
    <t>(08:40),(18:43)</t>
  </si>
  <si>
    <t>(08:40),(18:44)</t>
  </si>
  <si>
    <t>(08:48),(18:34)</t>
  </si>
  <si>
    <t>(08:44),(18:35)</t>
  </si>
  <si>
    <t>(08:46),(18:37)</t>
  </si>
  <si>
    <t>(08:43),(18:36)</t>
  </si>
  <si>
    <t>(08:44),(18:41)</t>
  </si>
  <si>
    <t>(08:47),(18:38)</t>
  </si>
  <si>
    <t>13日入职</t>
  </si>
  <si>
    <t>项目八部</t>
  </si>
  <si>
    <t>(08:57),(12:05),(13:59),(18:01)</t>
  </si>
  <si>
    <t>(08:57),(12:01),(13:58),(18:02)</t>
  </si>
  <si>
    <t>(08:57),(12:00),(13:58),(18:02)</t>
  </si>
  <si>
    <t>(08:57),(12:01),(13:57),(18:00)</t>
  </si>
  <si>
    <t>(08:55),(12:00),(13:57),(18:16)</t>
  </si>
  <si>
    <t>(08:58),(12:00),(13:58),(18:03)</t>
  </si>
  <si>
    <t>(08:58),(12:01),(13:57),(18:02)</t>
  </si>
  <si>
    <t>(08:55),(12:00),(13:56),(18:02)</t>
  </si>
  <si>
    <t>(08:56),(12:00),(13:59),(18:01)</t>
  </si>
  <si>
    <t>请假(-),请假(-),请假(-),请假(-);年假(09:00-12:00,14:00-18:00)</t>
  </si>
  <si>
    <t>(08:57),(12:00),(13:56),(18:01)</t>
  </si>
  <si>
    <t>(08:56),(12:01),(13:58),(18:04)</t>
  </si>
  <si>
    <t>(08:58),(12:00),(13:57),(18:06)</t>
  </si>
  <si>
    <t>(08:56),(12:00),(13:56),(18:02)</t>
  </si>
  <si>
    <t>(08:55),(12:01),(13:57),(18:01)</t>
  </si>
  <si>
    <t>(08:56),(12:00),(13:58),(18:03)</t>
  </si>
  <si>
    <t>(08:57),(12:00),(13:58),(18:05)</t>
  </si>
  <si>
    <t>(08:57),(12:01),(13:55),(18:55)</t>
  </si>
  <si>
    <t>(08:57),(12:08),(13:58),(18:12)</t>
  </si>
  <si>
    <t>(08:57),(12:00),(13:58),(18:06)</t>
  </si>
  <si>
    <t>(08:57),(12:00),(13:57),(18:02)</t>
  </si>
  <si>
    <t>(08:55),(12:00),(13:54),(18:01)</t>
  </si>
  <si>
    <t>(08:57),(12:01),(13:57),(18:05)</t>
  </si>
  <si>
    <t>(08:54),(12:00),(13:58),(18:04)</t>
  </si>
  <si>
    <t>(08:57),(12:00),(13:56),(18:00)</t>
  </si>
  <si>
    <t>全勤，年假 7小时(04/13 09:00-04/13 18:00)</t>
  </si>
  <si>
    <t>(08:51),(12:31),(13:54),(18:46)</t>
  </si>
  <si>
    <t>(08:58),(12:31),(13:54),(18:37)</t>
  </si>
  <si>
    <t>(08:46),(12:31),(13:54),(18:59)</t>
  </si>
  <si>
    <t>(08:56),(12:31),(13:53),(19:14)</t>
  </si>
  <si>
    <t>(08:46),(12:31),(13:54),(19:00)</t>
  </si>
  <si>
    <t>(08:53),(12:31),(13:57),(18:51)</t>
  </si>
  <si>
    <t>(08:53),(12:31),(13:55),(19:00)</t>
  </si>
  <si>
    <t>(08:54),(12:31),(13:54),(19:08)</t>
  </si>
  <si>
    <t>(08:54),(12:32),(13:54),(18:58)</t>
  </si>
  <si>
    <t>(08:48),(12:33),(13:54),(18:57)</t>
  </si>
  <si>
    <t>(08:49),(12:31),(13:54),(18:56)</t>
  </si>
  <si>
    <t>(08:49),(12:32),(13:54),(19:02)</t>
  </si>
  <si>
    <t>(08:56),(12:30),(13:53),(18:48)</t>
  </si>
  <si>
    <t>(08:42),(12:31),(13:54),(19:24)</t>
  </si>
  <si>
    <t>(08:50),(12:30),(13:55),(18:50)</t>
  </si>
  <si>
    <t>(08:46),(12:32),(13:55),(18:58)</t>
  </si>
  <si>
    <t>(08:51),(12:30),(13:54),(18:58)</t>
  </si>
  <si>
    <t>(08:53),(12:32),(13:57),(18:45)</t>
  </si>
  <si>
    <t>(08:47),(12:31),(13:55),(18:54)</t>
  </si>
  <si>
    <t>(08:54),(12:30),(13:52),(19:07)</t>
  </si>
  <si>
    <t>(08:51),(12:30),(13:56),(19:02)</t>
  </si>
  <si>
    <t>(08:51),(12:30),(13:53),(19:11)</t>
  </si>
  <si>
    <t>(08:56),(12:00),(13:57),(18:06)</t>
  </si>
  <si>
    <t>(08:57),(12:01),(13:55),(18:03)</t>
  </si>
  <si>
    <t>(08:57),(12:00),(13:56),(18:05)</t>
  </si>
  <si>
    <t>(08:57),(12:00),(13:58),(18:09)</t>
  </si>
  <si>
    <t>(08:56),(12:01),(13:56),(18:04)</t>
  </si>
  <si>
    <t>(08:55),(12:00),(13:55),(18:05)</t>
  </si>
  <si>
    <t>(08:55),(12:01),(13:56),(18:05)</t>
  </si>
  <si>
    <t>(08:56),(12:00),(13:56),(18:03)</t>
  </si>
  <si>
    <t>(08:56),(12:01),(13:57),(18:04)</t>
  </si>
  <si>
    <t>(08:55),(12:01),(13:56),(18:06)</t>
  </si>
  <si>
    <t>(08:56),(12:01),(13:56),(18:05)</t>
  </si>
  <si>
    <t>(08:56),(12:04),(13:56),(18:06)</t>
  </si>
  <si>
    <t>(08:57),(12:00),(13:55),(18:03)</t>
  </si>
  <si>
    <t>(08:53),(12:00),(13:55),(18:05)</t>
  </si>
  <si>
    <t>(08:57),(12:00),(13:55),(18:07)</t>
  </si>
  <si>
    <t>(08:56),(12:00),(13:55),(18:04)</t>
  </si>
  <si>
    <t>(08:56),(12:00),(13:54),(18:06)</t>
  </si>
  <si>
    <t>(08:56),(12:00),(13:56),(18:07)</t>
  </si>
  <si>
    <t>(08:57),(12:00),(13:55),(18:04)</t>
  </si>
  <si>
    <t>(08:55),(12:01),(13:55),(18:10)</t>
  </si>
  <si>
    <t>(08:56),(12:00),(13:56),(18:05)</t>
  </si>
  <si>
    <t>(08:56),(12:00),(13:55),(18:06)</t>
  </si>
  <si>
    <t>(08:57),(12:01),(13:58),(18:03)</t>
  </si>
  <si>
    <t>(08:57),(12:01),(13:57),(18:04)</t>
  </si>
  <si>
    <t>(08:56),(12:00),(13:56),(18:13)</t>
  </si>
  <si>
    <t>(08:57),(12:01),(13:55),(18:07)</t>
  </si>
  <si>
    <t>(08:57),(12:00),(13:54),(18:20)</t>
  </si>
  <si>
    <t>(08:56),(12:00),(13:57),(18:07)</t>
  </si>
  <si>
    <t>(08:58),(12:01),(13:55),(18:06)</t>
  </si>
  <si>
    <t>(08:57),(12:01),(13:56),(18:13)</t>
  </si>
  <si>
    <t>(08:56),(12:01),(13:55),(18:08)</t>
  </si>
  <si>
    <t>(08:56),(12:00),(13:56),(18:01)</t>
  </si>
  <si>
    <t>(08:56),(12:01),(13:56),(18:15)</t>
  </si>
  <si>
    <t>(08:55),(12:00),(13:52),(18:20)</t>
  </si>
  <si>
    <t>(08:56),(12:00),(13:53),(18:13)</t>
  </si>
  <si>
    <t>(08:57),(12:01),(13:55),(18:10)</t>
  </si>
  <si>
    <t>(08:57),(12:01),(13:57),(18:25)</t>
  </si>
  <si>
    <t>(08:54),(12:00),(13:57),(18:13)</t>
  </si>
  <si>
    <t>(08:58),(12:00),(13:55),(18:09)</t>
  </si>
  <si>
    <t>(08:56),(12:00),(13:54),(18:09)</t>
  </si>
  <si>
    <t>(08:57),(12:00),(13:55),(18:20)</t>
  </si>
  <si>
    <t>(08:57),(12:00),(13:57),(18:11)</t>
  </si>
  <si>
    <t>(08:56),(12:00),(13:56),(18:10)</t>
  </si>
  <si>
    <t>(08:56),(12:00),(13:53),(18:14)</t>
  </si>
  <si>
    <t>(08:52),(12:00),(13:49),(18:03)</t>
  </si>
  <si>
    <t>(08:55),(12:01),(13:45),(18:27)</t>
  </si>
  <si>
    <t>(08:54),(12:00),(13:51),(18:08)</t>
  </si>
  <si>
    <t>(08:56),(12:01),(13:52),(18:24)</t>
  </si>
  <si>
    <t>(08:57),(12:00),(13:44),(18:19)</t>
  </si>
  <si>
    <t>(08:56),(12:00),(13:45),(18:21)</t>
  </si>
  <si>
    <t>(08:50),(12:01),(13:50),(18:21)</t>
  </si>
  <si>
    <t>(08:57),(12:00),(13:49),(18:19)</t>
  </si>
  <si>
    <t>请假(-),请假(-),请假(-),请假(-);事假(09:00-12:00,14:00-18:00)</t>
  </si>
  <si>
    <t>(08:50),(12:00),(13:52),(18:20)</t>
  </si>
  <si>
    <t>(08:53),(12:00),(13:53),(18:20)</t>
  </si>
  <si>
    <t>(08:48),(12:00),(13:51),(18:02)</t>
  </si>
  <si>
    <t>(08:55),(12:00),(13:50),(18:16)</t>
  </si>
  <si>
    <t>(08:49),(12:00),(13:51),(18:11)</t>
  </si>
  <si>
    <t>(08:58),(12:00),(13:51),(18:14)</t>
  </si>
  <si>
    <t>(08:51),(12:00),(13:51),(18:12)</t>
  </si>
  <si>
    <t>(08:54),(12:01),(13:53),(18:27)</t>
  </si>
  <si>
    <t>(08:54),(12:00),(13:50),(18:18)</t>
  </si>
  <si>
    <t>(08:57),(12:01),(13:51),(18:11)</t>
  </si>
  <si>
    <t>(08:56),(12:00),(13:51),(18:11)</t>
  </si>
  <si>
    <t>事假 14小时(04/11 09:00-04/13 18:00);事假 28小时(04/14 09:00-04/17 18:00)</t>
  </si>
  <si>
    <t>(08:54),(12:00),(13:55),(18:11)</t>
  </si>
  <si>
    <t>(08:53),(12:01),(13:55),(18:04)</t>
  </si>
  <si>
    <t>(08:54),(12:00),(13:55),(18:13)</t>
  </si>
  <si>
    <t>(08:56),(12:00),(13:55),(18:08)</t>
  </si>
  <si>
    <t>(08:53),(12:01),(13:55),(18:20)</t>
  </si>
  <si>
    <t>(08:56),(12:00),(13:54),(18:17)</t>
  </si>
  <si>
    <t>(08:55),(12:00),(13:55),(18:03)</t>
  </si>
  <si>
    <t>(08:45),(12:00),(13:54),(18:07)</t>
  </si>
  <si>
    <t>(08:42),(12:00),(13:54),(18:02)</t>
  </si>
  <si>
    <t>(08:55),(12:00),(13:54),(18:09)</t>
  </si>
  <si>
    <t>(08:52),(12:00),(13:52),(18:03)</t>
  </si>
  <si>
    <t>(08:53),(12:00),(13:56),(18:07)</t>
  </si>
  <si>
    <t>(08:54),(12:01),(13:53),(18:16)</t>
  </si>
  <si>
    <t>(08:53),(12:00),(13:55),(18:19)</t>
  </si>
  <si>
    <t>(08:53),(12:00),(13:52),(18:07)</t>
  </si>
  <si>
    <t>(08:55),(12:01),(13:55),(18:04)</t>
  </si>
  <si>
    <t>请假(-),请假(-),(13:54),(18:05);年假(09:00-12:00)</t>
  </si>
  <si>
    <t>(08:54),(12:00),(13:54),(18:08)</t>
  </si>
  <si>
    <t>(08:56),(12:00),(13:54),(18:03)</t>
  </si>
  <si>
    <t>(08:55),(12:00),(13:54),(18:07)</t>
  </si>
  <si>
    <t>(08:54),(12:01),(13:57),(18:11)</t>
  </si>
  <si>
    <t>(08:54),(12:00),(13:54),(18:11)</t>
  </si>
  <si>
    <t>(08:54),(12:00),(13:53),(18:09)</t>
  </si>
  <si>
    <t>全勤，年假 7小时(04/13 09:00-04/13 18:00);年假 3小时(04/22 09:00-04/22 12:00)</t>
  </si>
  <si>
    <t>(08:51),(12:31),(13:55),(18:45)</t>
  </si>
  <si>
    <t>(08:58),(12:32),(13:53),(18:37)</t>
  </si>
  <si>
    <t>(08:56),(12:31),(13:53),(19:13)</t>
  </si>
  <si>
    <t>(08:46),(12:32),(13:54),(18:59)</t>
  </si>
  <si>
    <t>(08:53),(12:32),(13:58),(18:50)</t>
  </si>
  <si>
    <t>(08:54),(12:32),(13:54),(19:07)</t>
  </si>
  <si>
    <t>(08:54),(12:31),(13:54),(18:58)</t>
  </si>
  <si>
    <t>(08:49),(12:32),(13:54),(18:56)</t>
  </si>
  <si>
    <t>(08:49),(12:33),(13:53),(19:01)</t>
  </si>
  <si>
    <t>(08:42),(12:32),(13:54),(19:24)</t>
  </si>
  <si>
    <t>(08:50),(12:31),(13:55),(18:50)</t>
  </si>
  <si>
    <t>(08:51),(12:32),(13:54),(18:58)</t>
  </si>
  <si>
    <t>(08:52),(12:32),(13:57),(18:45)</t>
  </si>
  <si>
    <t>(08:59),(12:31),(13:54),(18:54)</t>
  </si>
  <si>
    <t>(08:51),(12:32),(13:55),(19:02)</t>
  </si>
  <si>
    <t>(08:49),(12:31),(13:54),(18:57)</t>
  </si>
  <si>
    <t>(08:51),(12:31),(13:53),(19:12)</t>
  </si>
  <si>
    <t>(08:56),(12:01),(13:57),(18:09)</t>
  </si>
  <si>
    <t>(08:58),(12:10),(13:57),(18:27)</t>
  </si>
  <si>
    <t>(08:55),(12:00),(13:58),(18:23)</t>
  </si>
  <si>
    <t>(08:56),(12:00),(13:57),(18:09)</t>
  </si>
  <si>
    <t>(08:57),(12:00),(13:57),(18:19)</t>
  </si>
  <si>
    <t>(08:56),(12:00),(13:56),(18:04)</t>
  </si>
  <si>
    <t>(08:56),(12:00),(13:55),(18:12)</t>
  </si>
  <si>
    <t>(08:55),(12:00),(13:57),(18:19)</t>
  </si>
  <si>
    <t>(08:56),(12:00),(13:59),(18:02)</t>
  </si>
  <si>
    <t>(08:57),(12:00),(13:54),(18:18)</t>
  </si>
  <si>
    <t>(08:55),(12:00),(13:56),(18:06)</t>
  </si>
  <si>
    <t>(08:56),(12:01),(13:56),(18:03)</t>
  </si>
  <si>
    <t>(08:57),(12:01),(13:55),(18:14)</t>
  </si>
  <si>
    <t>(08:55),(12:00),(13:57),(18:24)</t>
  </si>
  <si>
    <t>(08:57),(12:00),(13:57),(18:10)</t>
  </si>
  <si>
    <t>(08:54),(12:00),(13:59),(18:25)</t>
  </si>
  <si>
    <t>(08:55),(12:00),(13:57),(18:17)</t>
  </si>
  <si>
    <t>(08:57),(12:00),(13:55),(18:15)</t>
  </si>
  <si>
    <t>(08:56),(12:00),(13:58),(18:10)</t>
  </si>
  <si>
    <t>(08:57),(12:00),(13:58),(18:11)</t>
  </si>
  <si>
    <t>事假 7小时(04/20 09:00-04/20 18:00)</t>
  </si>
  <si>
    <t>(08:56),(12:00),(13:58),(18:06)</t>
  </si>
  <si>
    <t>(08:57),(12:00),(13:56),(18:04)</t>
  </si>
  <si>
    <t>(08:56),(12:01),(13:57),(18:07)</t>
  </si>
  <si>
    <t>(08:57),(12:01),(13:57),(18:09)</t>
  </si>
  <si>
    <t>(08:56),(12:00),(13:56),(18:08)</t>
  </si>
  <si>
    <t>(08:56),(12:01),(13:57),(18:03)</t>
  </si>
  <si>
    <t>(08:56),(12:03),(13:56),(18:07)</t>
  </si>
  <si>
    <t>(08:56),(12:01),(13:55),(18:03)</t>
  </si>
  <si>
    <t>(08:57),(12:01),(13:50),(18:06)</t>
  </si>
  <si>
    <t>(08:56),(12:00),(13:55),(18:05)</t>
  </si>
  <si>
    <t>(08:57),(12:00),(13:54),(18:02)</t>
  </si>
  <si>
    <t>(08:56),(12:01),(13:55),(18:02)</t>
  </si>
  <si>
    <t>(08:57),(12:01),(13:55),(18:04)</t>
  </si>
  <si>
    <t>(08:56),(12:01),(13:56),(18:06)</t>
  </si>
  <si>
    <t>(08:56),(12:01),(13:55),(18:05)</t>
  </si>
  <si>
    <t>(08:54),(12:00),(13:58),(20:17)</t>
  </si>
  <si>
    <t>(08:57),(12:01),(13:59),(18:00)</t>
  </si>
  <si>
    <t>(08:58),(12:00),(14:00),(18:15)</t>
  </si>
  <si>
    <t>(08:59),(12:00),(13:59),(18:23)</t>
  </si>
  <si>
    <t>迟到9分钟(09:09),(12:00),(14:00),(18:04)</t>
  </si>
  <si>
    <t>(09:00),(12:00),(13:57),(18:02)</t>
  </si>
  <si>
    <t>(08:56),(12:00),(13:52),(18:02)</t>
  </si>
  <si>
    <t>(08:50),(12:00),(13:59),(18:08)</t>
  </si>
  <si>
    <t>(08:59),(12:00),(13:59),(18:00)</t>
  </si>
  <si>
    <t>(08:59),(12:00),(13:57),(20:33)</t>
  </si>
  <si>
    <t>(08:54),(12:00),(13:57),(18:01)</t>
  </si>
  <si>
    <t>迟到3分钟(09:03),(12:00),(13:53),(18:51)</t>
  </si>
  <si>
    <t>(08:55),(12:00),(13:57),(18:26)</t>
  </si>
  <si>
    <t>迟到3分钟(09:03),(12:04),(13:58),(18:14)</t>
  </si>
  <si>
    <t>(08:50),(12:00),(13:58),(18:02)</t>
  </si>
  <si>
    <t>(08:50),(12:00),迟到6分钟(14:06),(18:02)</t>
  </si>
  <si>
    <t>(08:57),(12:00),(13:57),(18:03)</t>
  </si>
  <si>
    <t>(09:00),(12:00),(13:57),(18:14)</t>
  </si>
  <si>
    <t>(08:55),(12:00),迟到18分钟(14:18),(18:01)</t>
  </si>
  <si>
    <t>(08:51),(12:00),(13:54),(18:03)</t>
  </si>
  <si>
    <t>(08:58),(12:00),迟到7分钟(14:07),(18:06)</t>
  </si>
  <si>
    <t>(08:59),(12:00),(13:55),(18:02)</t>
  </si>
  <si>
    <t>(08:49),(12:01),(13:54),(18:01)</t>
  </si>
  <si>
    <t>(08:56),(12:00),(13:55),(18:00)</t>
  </si>
  <si>
    <t>迟到6次共46分钟，按人力行政制度一个月内迟到累计30-60分钟（包含60），乐捐50元。</t>
  </si>
  <si>
    <t>(08:52),(12:00),(13:50),(18:03)</t>
  </si>
  <si>
    <t>(08:53),(12:01),(13:52),(18:01)</t>
  </si>
  <si>
    <t>(08:54),(12:00),(13:55),(18:05)</t>
  </si>
  <si>
    <t>(08:57),(12:00),(13:53),(18:01)</t>
  </si>
  <si>
    <t>(08:57),(12:01),(13:55),(18:28)</t>
  </si>
  <si>
    <t>(08:55),(12:00),(13:55),(18:02)</t>
  </si>
  <si>
    <t>(08:50),(12:01),(13:56),(18:11)</t>
  </si>
  <si>
    <t>(08:52),(12:00),(13:54),(18:01)</t>
  </si>
  <si>
    <t>(08:56),(12:01),(13:54),(18:57)</t>
  </si>
  <si>
    <t>(08:52),(12:07),(13:52),(18:03)</t>
  </si>
  <si>
    <t>(08:51),(12:00),(13:54),(18:01)</t>
  </si>
  <si>
    <t>(08:54),(12:01),(13:56),(18:07)</t>
  </si>
  <si>
    <t>(08:50),(12:01),(13:54),(18:50)</t>
  </si>
  <si>
    <t>(08:53),(12:01),(13:55),(18:09)</t>
  </si>
  <si>
    <t>(08:53),(12:01),(13:51),(18:07)</t>
  </si>
  <si>
    <t>(08:53),(12:01);外出(下午)</t>
  </si>
  <si>
    <t>(08:52),(12:01),(13:51),(18:10)</t>
  </si>
  <si>
    <t>(08:54),(12:00),(13:51),(18:03)</t>
  </si>
  <si>
    <t>(08:53),(12:00),(13:54),(18:03)</t>
  </si>
  <si>
    <t>(08:54),(12:01),(13:53),(18:36)</t>
  </si>
  <si>
    <t>(08:54),(12:01),(13:53),(18:13)</t>
  </si>
  <si>
    <t>(08:51),(12:00),(13:51),(18:16)</t>
  </si>
  <si>
    <t>全勤，外出 0.5天(04/22 下午-04/22 下午)</t>
  </si>
  <si>
    <t>仓储部</t>
  </si>
  <si>
    <t>(08:49),(18:31)</t>
  </si>
  <si>
    <t>(08:47),(12:01);年假(13:30-18:30)</t>
  </si>
  <si>
    <t>(08:50),(19:54)</t>
  </si>
  <si>
    <t>24</t>
  </si>
  <si>
    <t>200</t>
  </si>
  <si>
    <t>全勤，年假 5小时(04/15 13:30-04/15 18:30)</t>
  </si>
  <si>
    <t>(08:53),(18:30)</t>
  </si>
  <si>
    <t>(08:56),(18:30)</t>
  </si>
  <si>
    <t>(08:50),(18:30)</t>
  </si>
  <si>
    <t>(08:51),(18:30)</t>
  </si>
  <si>
    <t>(08:49),(18:30)</t>
  </si>
  <si>
    <t>(08:58),(18:30)</t>
  </si>
  <si>
    <t>请假(-),请假(-);年假(09:00-12:00,13:30-18:30)</t>
  </si>
  <si>
    <t>(08:48),(18:31)</t>
  </si>
  <si>
    <t>(08:47),(18:30)</t>
  </si>
  <si>
    <t>(08:48),(18:30)</t>
  </si>
  <si>
    <t>全勤，年假 16小时(04/13 09:00-04/14 18:30)</t>
  </si>
  <si>
    <t>(08:46),(18:30)</t>
  </si>
  <si>
    <t>(08:53),(20:59)</t>
  </si>
  <si>
    <t>请假(-),请假(-);事假(09:00-12:00,13:30-18:30)</t>
  </si>
  <si>
    <t>(07:21),(18:30)</t>
  </si>
  <si>
    <t>(07:19),(18:30)</t>
  </si>
  <si>
    <t>(07:26),(18:31)</t>
  </si>
  <si>
    <t>(07:23),(18:31)</t>
  </si>
  <si>
    <t>事假 8小时(04/04 09:00-04/04 18:30)</t>
  </si>
  <si>
    <t>(08:54),(18:47)</t>
  </si>
  <si>
    <t>迟到1分钟(09:01),(18:30)</t>
  </si>
  <si>
    <t>迟到5分钟(09:05),(18:30)</t>
  </si>
  <si>
    <t>迟到12分钟(09:12),(18:31)</t>
  </si>
  <si>
    <t>(08:57),(19:29)</t>
  </si>
  <si>
    <t>迟到2分钟(09:02),(18:31)</t>
  </si>
  <si>
    <t>(13:22),(18:31);事假(09:00-12:00)</t>
  </si>
  <si>
    <t>(08:51),(19:13)</t>
  </si>
  <si>
    <t>迟到11分钟(09:11),(18:31)</t>
  </si>
  <si>
    <t>(08:57),(19:45)</t>
  </si>
  <si>
    <t>(09:00),(18:39)</t>
  </si>
  <si>
    <t>事假 3小时(04/17 09:00-04/17 12:00)，迟到6次共33分钟，按人力行政制度一个月内迟到累计30-60分钟（包含60），乐捐50元。</t>
  </si>
  <si>
    <t>事业五部-项目九部</t>
  </si>
  <si>
    <t>(07:52),(18:44)</t>
  </si>
  <si>
    <t>(07:48),(18:33)</t>
  </si>
  <si>
    <t>(07:50),(18:47)</t>
  </si>
  <si>
    <t>(07:54),(19:08)</t>
  </si>
  <si>
    <t>(07:42),(19:28)</t>
  </si>
  <si>
    <t>(07:44),(19:52)</t>
  </si>
  <si>
    <t>(07:45),(18:45)</t>
  </si>
  <si>
    <t>(07:40),(18:51)</t>
  </si>
  <si>
    <t>(07:49),(18:33)</t>
  </si>
  <si>
    <t>(07:41),(18:34)</t>
  </si>
  <si>
    <t>(08:52),(12:33);年假(14:00-18:30)</t>
  </si>
  <si>
    <t>(08:51),(19:29)</t>
  </si>
  <si>
    <t>(07:50),(18:40)</t>
  </si>
  <si>
    <t>(07:54),(18:55)</t>
  </si>
  <si>
    <t>(07:54),(18:51)</t>
  </si>
  <si>
    <t>外勤(08:34),外勤(18:36)</t>
  </si>
  <si>
    <t>(07:57),(18:32)</t>
  </si>
  <si>
    <t>(07:46),(19:16)</t>
  </si>
  <si>
    <t>全勤，年假 4.5小时(04/18 14:00-04/18 18:30);年假 8小时(04/23 09:00-04/23 18:30)</t>
  </si>
  <si>
    <t>(08:57),(20:12)</t>
  </si>
  <si>
    <t>(08:54),(18:41)</t>
  </si>
  <si>
    <t>(08:58),(19:38)</t>
  </si>
  <si>
    <t>(08:58),(18:45)</t>
  </si>
  <si>
    <t>(08:53),(19:22)</t>
  </si>
  <si>
    <t>外勤(08:35),外勤(18:40)</t>
  </si>
  <si>
    <t>(08:53),(18:38)</t>
  </si>
  <si>
    <t>(08:55),(18:43)</t>
  </si>
  <si>
    <t>(08:50),(18:43)</t>
  </si>
  <si>
    <t>(08:54),(18:37)</t>
  </si>
  <si>
    <t>(08:55),(18:45)</t>
  </si>
  <si>
    <t>(08:52),(18:35)</t>
  </si>
  <si>
    <t>外勤(08:40),外勤(18:39)</t>
  </si>
  <si>
    <t>(08:50),(18:35)</t>
  </si>
  <si>
    <t>(08:57),(19:37)</t>
  </si>
  <si>
    <t>外勤(08:33),外勤(19:08)</t>
  </si>
  <si>
    <t>全勤，年假 8小时(04/08 09:00-04/08 18:30)</t>
  </si>
  <si>
    <t>事业四部-项目五部</t>
  </si>
  <si>
    <t>请假(07:14),请假(11:29);产假(全天)</t>
  </si>
  <si>
    <t>请假(07:20),请假(11:46);产假(全天)</t>
  </si>
  <si>
    <t>请假(07:28),请假(11:38);产假(全天)</t>
  </si>
  <si>
    <t>外勤请假(09:23),外勤请假(15:33);产假(全天)</t>
  </si>
  <si>
    <t>请假(07:22),请假(11:23);产假(全天)</t>
  </si>
  <si>
    <t>外勤请假(11:58),外勤请假(16:12);产假(全天)</t>
  </si>
  <si>
    <t>外勤请假(11:17),外勤请假(15:43);产假(全天)</t>
  </si>
  <si>
    <t>请假(14:00),请假(18:28);产假(全天)</t>
  </si>
  <si>
    <t>请假(07:34),请假(11:45);产假(全天)</t>
  </si>
  <si>
    <t>外勤请假(10:44),外勤请假(14:48);产假(全天)</t>
  </si>
  <si>
    <t>外勤请假(10:43),外勤请假(14:44);产假(全天)</t>
  </si>
  <si>
    <t>外勤请假(11:26),外勤请假(15:29);产假(全天)</t>
  </si>
  <si>
    <t>外勤请假(10:43),外勤请假(14:53);产假(全天)</t>
  </si>
  <si>
    <t>外勤请假(07:07),外勤请假(11:07);产假(全天)</t>
  </si>
  <si>
    <t>外勤请假(11:03),外勤请假(15:06);产假(全天)</t>
  </si>
  <si>
    <t>外勤请假(11:11),外勤请假(16:56);产假(全天)</t>
  </si>
  <si>
    <t>外勤请假(11:18),外勤请假(15:28);产假(全天)</t>
  </si>
  <si>
    <t>外勤请假(10:29),外勤请假(14:46);产假(全天)</t>
  </si>
  <si>
    <t>外勤请假(10:58),外勤请假(15:22);产假(全天)</t>
  </si>
  <si>
    <t>外勤请假(09:53),外勤请假(14:06);产假(全天)</t>
  </si>
  <si>
    <t>外勤请假(09:58),外勤请假(14:19);产假(全天)</t>
  </si>
  <si>
    <t>外勤请假(10:05),外勤请假(14:14);产假(全天)</t>
  </si>
  <si>
    <t>外勤请假(10:45),外勤请假(18:19);产假(全天)</t>
  </si>
  <si>
    <t>产假 158天(01/26 上午-07/02 下午)，4月份居家办公每日出勤4小时计0.5天出勤</t>
  </si>
  <si>
    <t>(08:46),(19:00)</t>
  </si>
  <si>
    <t>(08:52),(18:54)</t>
  </si>
  <si>
    <t>(08:48),(19:01)</t>
  </si>
  <si>
    <t>(08:44),(18:49)</t>
  </si>
  <si>
    <t>(08:46),(18:59)</t>
  </si>
  <si>
    <t>(08:47),(18:58)</t>
  </si>
  <si>
    <t>(08:49),(19:05)</t>
  </si>
  <si>
    <t>(08:47),(18:59)</t>
  </si>
  <si>
    <t>(08:50),(19:02)</t>
  </si>
  <si>
    <t>(08:46),(18:47)</t>
  </si>
  <si>
    <t>(08:49),(18:40)</t>
  </si>
  <si>
    <t>(08:46),(18:55)</t>
  </si>
  <si>
    <t>(08:49),(18:57)</t>
  </si>
  <si>
    <t>(08:33),(18:55)</t>
  </si>
  <si>
    <t>(08:50),(18:54)</t>
  </si>
  <si>
    <t>(08:48),(18:52)</t>
  </si>
  <si>
    <t>(08:51),(19:05)</t>
  </si>
  <si>
    <t>(08:47),(18:56)</t>
  </si>
  <si>
    <t>(08:43),(19:00)</t>
  </si>
  <si>
    <t>(08:48),(18:58)</t>
  </si>
  <si>
    <t>(08:49),(18:52)</t>
  </si>
  <si>
    <t>(08:51),(19:04)</t>
  </si>
  <si>
    <t>(08:45),(19:03)</t>
  </si>
  <si>
    <t>(08:43),(18:39)</t>
  </si>
  <si>
    <t>(08:49),(18:54)</t>
  </si>
  <si>
    <t>(08:39),(18:57)</t>
  </si>
  <si>
    <t>(08:48),(18:47)</t>
  </si>
  <si>
    <t>(08:46),(18:51)</t>
  </si>
  <si>
    <t>(08:46),(18:38)</t>
  </si>
  <si>
    <t>(08:59),(19:42)</t>
  </si>
  <si>
    <t>(08:56),(18:43)</t>
  </si>
  <si>
    <t>(08:58),(19:45)</t>
  </si>
  <si>
    <t>(08:59),(19:02)</t>
  </si>
  <si>
    <t>(09:00),(18:40)</t>
  </si>
  <si>
    <t>(08:58),(19:02)</t>
  </si>
  <si>
    <t>(08:51),(20:11)</t>
  </si>
  <si>
    <t>(08:59),(19:33)</t>
  </si>
  <si>
    <t>(08:49),(15:07);年假(15:00-18:30)</t>
  </si>
  <si>
    <t>(08:57),(19:03)</t>
  </si>
  <si>
    <t>(08:58),(18:40)</t>
  </si>
  <si>
    <t>(08:56),(18:39)</t>
  </si>
  <si>
    <t>(08:57),(19:39)</t>
  </si>
  <si>
    <t>(08:56),(18:58)</t>
  </si>
  <si>
    <t>全勤，年假 3.5小时(04/18 15:00-04/18 18:30)</t>
  </si>
  <si>
    <t>事业一部-项目四部</t>
  </si>
  <si>
    <t>(08:51),(19:40)</t>
  </si>
  <si>
    <t>(08:52),(19:02)</t>
  </si>
  <si>
    <t>(08:57),(18:59)</t>
  </si>
  <si>
    <t>(08:59),(19:07)</t>
  </si>
  <si>
    <t>(08:48),(18:44)</t>
  </si>
  <si>
    <t>(08:55),(19:53)</t>
  </si>
  <si>
    <t>(08:56),(19:09)</t>
  </si>
  <si>
    <t>(08:55),(18:46)</t>
  </si>
  <si>
    <t>(13:57),(19:06);年假(09:00-12:30)</t>
  </si>
  <si>
    <t>(08:54),(19:00)</t>
  </si>
  <si>
    <t>(08:54),(19:09)</t>
  </si>
  <si>
    <t>(08:56),(19:06)</t>
  </si>
  <si>
    <t>(08:56),(19:27)</t>
  </si>
  <si>
    <t>(08:53),(19:00)</t>
  </si>
  <si>
    <t>(08:49),(18:50)</t>
  </si>
  <si>
    <t>年假 3.5小时(04/17 09:00-04/17 12:30);事假 8小时(04/30 09:00-04/30 18:30)</t>
  </si>
  <si>
    <t>(08:57),(20:49)</t>
  </si>
  <si>
    <t>(08:55),(19:31)</t>
  </si>
  <si>
    <t>(08:58),(20:15)</t>
  </si>
  <si>
    <t>(08:55),(19:14)</t>
  </si>
  <si>
    <t>(08:57),(18:48)</t>
  </si>
  <si>
    <t>(08:53),(18:50)</t>
  </si>
  <si>
    <t>(08:54),(20:41)</t>
  </si>
  <si>
    <t>(08:57),(19:24)</t>
  </si>
  <si>
    <t>(08:57),(18:56)</t>
  </si>
  <si>
    <t>(08:56),(18:54)</t>
  </si>
  <si>
    <t>(08:58),(19:07)</t>
  </si>
  <si>
    <t>(13:57),(20:37);年假(09:00-12:30)</t>
  </si>
  <si>
    <t>(08:56),(19:02)</t>
  </si>
  <si>
    <t>全勤，年假 3.5小时(04/27 09:00-04/27 12:30)</t>
  </si>
  <si>
    <t>(08:52),(19:07)</t>
  </si>
  <si>
    <t>(08:52),(19:00)</t>
  </si>
  <si>
    <t>(08:55),(18:54)</t>
  </si>
  <si>
    <t>(08:53),(19:06)</t>
  </si>
  <si>
    <t>(08:53),(18:55)</t>
  </si>
  <si>
    <t>(08:53),(18:51)</t>
  </si>
  <si>
    <t>(08:55),(18:50)</t>
  </si>
  <si>
    <t>(08:56),(18:47)</t>
  </si>
  <si>
    <t>(08:48),(19:11)</t>
  </si>
  <si>
    <t>(08:52),(19:08)</t>
  </si>
  <si>
    <t>(08:54),(19:22)</t>
  </si>
  <si>
    <t>(08:56),(19:17)</t>
  </si>
  <si>
    <t>(08:54),(19:31)</t>
  </si>
  <si>
    <t>(08:50),(19:06)</t>
  </si>
  <si>
    <t>(08:54),(18:39)</t>
  </si>
  <si>
    <t>(08:50),(18:47)</t>
  </si>
  <si>
    <t>(08:51),(19:07)</t>
  </si>
  <si>
    <t>(08:37),(19:15)</t>
  </si>
  <si>
    <t>(08:42),(18:54)</t>
  </si>
  <si>
    <t>(08:41),(18:41)</t>
  </si>
  <si>
    <t>(08:58),(18:37)</t>
  </si>
  <si>
    <t>(08:58),(18:51)</t>
  </si>
  <si>
    <t>(08:57),(19:14)</t>
  </si>
  <si>
    <t>(08:58),(19:03)</t>
  </si>
  <si>
    <t>迟到7分钟(09:07),(18:46)</t>
  </si>
  <si>
    <t>(08:54),(18:45)</t>
  </si>
  <si>
    <t>(09:00),(18:41)</t>
  </si>
  <si>
    <t>(08:40),(19:40)</t>
  </si>
  <si>
    <t>迟到1分钟(09:01),(18:48)</t>
  </si>
  <si>
    <t>(09:00),(12:32);事假(14:00-18:30)</t>
  </si>
  <si>
    <t>事假 4.5小时(04/30 14:00-04/30 18:30)；迟到2次共8分钟</t>
  </si>
  <si>
    <t>(08:50),(19:30)</t>
  </si>
  <si>
    <t>(08:56),(18:44)</t>
  </si>
  <si>
    <t>(08:57),(19:58)</t>
  </si>
  <si>
    <t>(08:59),(19:30)</t>
  </si>
  <si>
    <t>(08:57),(19:08)</t>
  </si>
  <si>
    <t>(08:59),(19:13)</t>
  </si>
  <si>
    <t>(08:53),(19:36)</t>
  </si>
  <si>
    <t>(08:59),(19:21)</t>
  </si>
  <si>
    <t>(08:57),(18:41)</t>
  </si>
  <si>
    <t>全勤，年假 8小时(04/27 09:00-04/27 18:30)</t>
  </si>
  <si>
    <t>(08:59),(20:01)</t>
  </si>
  <si>
    <t>(08:55),(18:59)</t>
  </si>
  <si>
    <t>(08:53),(19:03)</t>
  </si>
  <si>
    <t>(08:59),(23:35)</t>
  </si>
  <si>
    <t>(08:54),(21:07)</t>
  </si>
  <si>
    <t>(08:58),(21:03)</t>
  </si>
  <si>
    <t>(08:54),(20:11)</t>
  </si>
  <si>
    <t>(08:53),(19:02)</t>
  </si>
  <si>
    <t>(08:57),(20:04)</t>
  </si>
  <si>
    <t>(08:58),(20:03)</t>
  </si>
  <si>
    <t>(08:54),(12:31);年假(14:00-18:30)</t>
  </si>
  <si>
    <t>(08:59),(21:01)</t>
  </si>
  <si>
    <t>(08:57),(20:34)</t>
  </si>
  <si>
    <t>全勤，年假 4.5小时(04/27 14:00-04/27 18:30)</t>
  </si>
  <si>
    <t>(08:54),(18:36)</t>
  </si>
  <si>
    <t>(08:50),缺卡(-)</t>
  </si>
  <si>
    <t>(08:57),缺卡(-)</t>
  </si>
  <si>
    <t>(08:55),缺卡(-)</t>
  </si>
  <si>
    <t>(08:59),缺卡(-)</t>
  </si>
  <si>
    <t>年假 8小时(04/02 09:00-04/02 18:30);事假 8小时(04/18 09:00-04/18 18:30)，缺卡累计4次，按人力行政制度月缺卡超3次需乐捐50元</t>
  </si>
  <si>
    <t>事业四部-项目一部-精品四组</t>
  </si>
  <si>
    <t>(08:53),(21:20)</t>
  </si>
  <si>
    <t>(08:56),(21:12)</t>
  </si>
  <si>
    <t>(08:53),(19:45)</t>
  </si>
  <si>
    <t>(08:55),(21:09)</t>
  </si>
  <si>
    <t>(08:54),(19:51)</t>
  </si>
  <si>
    <t>(08:53),(21:14)</t>
  </si>
  <si>
    <t>(08:54),(19:11)</t>
  </si>
  <si>
    <t>(08:53),(19:09)</t>
  </si>
  <si>
    <t>(08:54),(19:07)</t>
  </si>
  <si>
    <t>(08:48),(21:20)</t>
  </si>
  <si>
    <t>(08:53),(19:39)</t>
  </si>
  <si>
    <t>(08:54),(20:14)</t>
  </si>
  <si>
    <t>(08:55),(20:39)</t>
  </si>
  <si>
    <t>(08:50),(21:23)</t>
  </si>
  <si>
    <t>(08:55),(18:42)</t>
  </si>
  <si>
    <t>(08:52),(20:11)</t>
  </si>
  <si>
    <t>(08:56),(18:49)</t>
  </si>
  <si>
    <t>(08:49),(19:13)</t>
  </si>
  <si>
    <t>(13:59),(18:39);年假(09:00-12:30)</t>
  </si>
  <si>
    <t>(08:52),(18:40)</t>
  </si>
  <si>
    <t>(08:50),(18:41)</t>
  </si>
  <si>
    <t>(08:50),(19:00)</t>
  </si>
  <si>
    <t>(08:54),(19:08)</t>
  </si>
  <si>
    <t>(08:52),(19:12)</t>
  </si>
  <si>
    <t>(13:59),(19:01);年假(09:00-12:30)</t>
  </si>
  <si>
    <t>全勤，年假 3.5小时(04/13 09:00-04/13 12:30);年假 3.5小时(04/28 09:00-04/28 12:30)</t>
  </si>
  <si>
    <t>事业六部-项目六部</t>
  </si>
  <si>
    <t>(08:57),(18:42)</t>
  </si>
  <si>
    <t>迟到1分钟(09:01),(18:37)</t>
  </si>
  <si>
    <t>迟到1分钟(09:01),(19:05)</t>
  </si>
  <si>
    <t>事假 24小时(04/28 09:00-04/30 18:30)；迟到3次共4分钟</t>
  </si>
  <si>
    <t>(08:56),(19:05)</t>
  </si>
  <si>
    <t>(08:58),(18:50)</t>
  </si>
  <si>
    <t>(08:55),(18:47)</t>
  </si>
  <si>
    <t>(08:55),(19:32)</t>
  </si>
  <si>
    <t>(08:54),(18:40)</t>
  </si>
  <si>
    <t>(08:52),(19:10)</t>
  </si>
  <si>
    <t>(08:56),(19:13)</t>
  </si>
  <si>
    <t>(08:53),(19:12)</t>
  </si>
  <si>
    <t>(08:52),(18:39)</t>
  </si>
  <si>
    <t>(08:55),(19:12)</t>
  </si>
  <si>
    <t>(08:56),(19:10)</t>
  </si>
  <si>
    <t>(08:56),(18:46)</t>
  </si>
  <si>
    <t>(08:57),(19:05)</t>
  </si>
  <si>
    <t>(08:57),(18:39)</t>
  </si>
  <si>
    <t>(08:42),(18:43)</t>
  </si>
  <si>
    <t>(08:48),(18:53)</t>
  </si>
  <si>
    <t>(08:52),(18:41)</t>
  </si>
  <si>
    <t>(08:48),(18:39)</t>
  </si>
  <si>
    <t>(08:55),(18:51)</t>
  </si>
  <si>
    <t>(08:54),(18:49)</t>
  </si>
  <si>
    <t>(08:52),(19:04)</t>
  </si>
  <si>
    <t>(08:48),(18:43)</t>
  </si>
  <si>
    <t>(08:53),(19:10)</t>
  </si>
  <si>
    <t>(08:54),(18:43)</t>
  </si>
  <si>
    <t>(08:47),(19:02)</t>
  </si>
  <si>
    <t>(08:57),(19:04)</t>
  </si>
  <si>
    <t>(08:53),(18:41)</t>
  </si>
  <si>
    <t>(08:53),(19:04)</t>
  </si>
  <si>
    <t>(08:46),(19:55)</t>
  </si>
  <si>
    <t>(08:51),(18:42)</t>
  </si>
  <si>
    <t>(08:55),(19:05)</t>
  </si>
  <si>
    <t>(08:54),(19:25)</t>
  </si>
  <si>
    <t>(08:56),(19:28)</t>
  </si>
  <si>
    <t>(08:53),(18:46)</t>
  </si>
  <si>
    <t>考 勤 记 录 表</t>
  </si>
  <si>
    <t>考勤时间</t>
  </si>
  <si>
    <t>2026-04-01 ~ 2026-04-30</t>
  </si>
  <si>
    <t>制表时间</t>
  </si>
  <si>
    <t>2026-04-30</t>
  </si>
  <si>
    <t>工 号:</t>
  </si>
  <si>
    <t>206</t>
  </si>
  <si>
    <t>姓 名:</t>
  </si>
  <si>
    <t>李忙</t>
  </si>
  <si>
    <t>部 门:</t>
  </si>
  <si>
    <t>08:57
18:30</t>
  </si>
  <si>
    <t>08:5818:30</t>
  </si>
  <si>
    <t>08:5718:30</t>
  </si>
  <si>
    <t>09:0018:30</t>
  </si>
  <si>
    <t>08:5518:30</t>
  </si>
  <si>
    <t>08:5618:30</t>
  </si>
  <si>
    <t>08:5418:30</t>
  </si>
  <si>
    <t>08:5318:30</t>
  </si>
  <si>
    <t>08:5817:30</t>
  </si>
  <si>
    <t>工时</t>
  </si>
  <si>
    <t>工价</t>
  </si>
  <si>
    <t>工资</t>
  </si>
  <si>
    <t>226</t>
  </si>
  <si>
    <t>赵均发</t>
  </si>
  <si>
    <t>08:58
18:30</t>
  </si>
  <si>
    <t>08:56
18:30</t>
  </si>
  <si>
    <t>08:5918:30</t>
  </si>
  <si>
    <t>09:0118:30</t>
  </si>
  <si>
    <t>08:5521:00</t>
  </si>
  <si>
    <t>228</t>
  </si>
  <si>
    <t>徐振平</t>
  </si>
  <si>
    <t>08:5218:30</t>
  </si>
  <si>
    <t>08:4918:30</t>
  </si>
  <si>
    <t>08:5118:30</t>
  </si>
  <si>
    <t>08:5218:31</t>
  </si>
  <si>
    <t>08:5018:30</t>
  </si>
  <si>
    <t>08:5618:31</t>
  </si>
  <si>
    <t>08:5421:00</t>
  </si>
  <si>
    <t>229</t>
  </si>
  <si>
    <t>李爱中</t>
  </si>
  <si>
    <t>08:4818:30</t>
  </si>
  <si>
    <t>08:5321:00</t>
  </si>
  <si>
    <t>236</t>
  </si>
  <si>
    <t>王明</t>
  </si>
  <si>
    <t>09:0218:30</t>
  </si>
  <si>
    <t>09:0318:30</t>
  </si>
  <si>
    <t>08:5621:00</t>
  </si>
  <si>
    <t>合计：</t>
  </si>
  <si>
    <t>备注：临时工未满15分钟的迟到不扣除工时，但已监督晚上提前上班上满工时</t>
  </si>
  <si>
    <t>深圳市凌吟科技有限公司</t>
  </si>
  <si>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</si>
  <si>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</si>
  <si>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</si>
  <si>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</si>
  <si>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</si>
  <si>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</si>
  <si>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</si>
  <si>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</si>
  <si>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</si>
  <si>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</si>
  <si>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</si>
  <si>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</si>
  <si>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</si>
  <si>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</si>
  <si>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</si>
  <si>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</si>
  <si>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</si>
  <si>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</si>
  <si>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</si>
  <si>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</si>
  <si>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</si>
  <si>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</si>
  <si>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</si>
  <si>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</si>
  <si>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</si>
  <si>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1</t>
  </si>
  <si>
    <t>362330199910275820</t>
  </si>
  <si>
    <t>2026-04</t>
  </si>
  <si>
    <t>1349.47</t>
  </si>
  <si>
    <t>928.79</t>
  </si>
  <si>
    <t>2360.00</t>
  </si>
  <si>
    <t>16%</t>
  </si>
  <si>
    <t>764.00</t>
  </si>
  <si>
    <t>8%</t>
  </si>
  <si>
    <t>382.00</t>
  </si>
  <si>
    <t>1.5%</t>
  </si>
  <si>
    <t>100.91</t>
  </si>
  <si>
    <t>0.5%</t>
  </si>
  <si>
    <t>33.64</t>
  </si>
  <si>
    <t>0.4%</t>
  </si>
  <si>
    <t>10.08</t>
  </si>
  <si>
    <t>0.8%</t>
  </si>
  <si>
    <t>20.16</t>
  </si>
  <si>
    <t>0.2%</t>
  </si>
  <si>
    <t>5.04</t>
  </si>
  <si>
    <t>2</t>
  </si>
  <si>
    <t>420582199106205428</t>
  </si>
  <si>
    <t>2155.80</t>
  </si>
  <si>
    <t>1529.26</t>
  </si>
  <si>
    <t>6000.00</t>
  </si>
  <si>
    <t>960.00</t>
  </si>
  <si>
    <t>480.00</t>
  </si>
  <si>
    <t>6%</t>
  </si>
  <si>
    <t>403.62</t>
  </si>
  <si>
    <t>2%</t>
  </si>
  <si>
    <t>134.54</t>
  </si>
  <si>
    <t>24.00</t>
  </si>
  <si>
    <t>48.00</t>
  </si>
  <si>
    <t>12.00</t>
  </si>
  <si>
    <t>1%</t>
  </si>
  <si>
    <t>60.00</t>
  </si>
  <si>
    <t>小计</t>
  </si>
  <si>
    <t>3505.27</t>
  </si>
  <si>
    <t>1047.22</t>
  </si>
  <si>
    <t>2458.05</t>
  </si>
  <si>
    <t>1724.00</t>
  </si>
  <si>
    <t>862.00</t>
  </si>
  <si>
    <t>504.53</t>
  </si>
  <si>
    <t>0.00</t>
  </si>
  <si>
    <t>168.18</t>
  </si>
  <si>
    <t>67.28</t>
  </si>
  <si>
    <t>34.08</t>
  </si>
  <si>
    <t>68.16</t>
  </si>
  <si>
    <t>17.04</t>
  </si>
  <si>
    <t>退休人员</t>
  </si>
  <si>
    <t>家属统筹人员</t>
  </si>
  <si>
    <t>备注：本月减少5人（吴伟君、罗洁敏、余仕梦、钟晓萍、徐润城）</t>
  </si>
  <si>
    <t>深圳市嘉腾贸易有限公司</t>
  </si>
  <si>
    <t>441423198412052727</t>
  </si>
  <si>
    <t>1818.75</t>
  </si>
  <si>
    <t>1294.61</t>
  </si>
  <si>
    <t>3800.00</t>
  </si>
  <si>
    <t>15.20</t>
  </si>
  <si>
    <t>30.40</t>
  </si>
  <si>
    <t>7.60</t>
  </si>
  <si>
    <t>47.75</t>
  </si>
  <si>
    <t>524.14</t>
  </si>
  <si>
    <t>深圳市卓悦贸易代理有限公司</t>
  </si>
  <si>
    <t>421126199409065117</t>
  </si>
  <si>
    <t>420625198702205620</t>
  </si>
  <si>
    <t>1363.19</t>
  </si>
  <si>
    <t>940.55</t>
  </si>
  <si>
    <t>3500.00</t>
  </si>
  <si>
    <t>14.00</t>
  </si>
  <si>
    <t>28.00</t>
  </si>
  <si>
    <t>7.00</t>
  </si>
  <si>
    <t>3</t>
  </si>
  <si>
    <t>360430200102281324</t>
  </si>
  <si>
    <t>2520.00</t>
  </si>
  <si>
    <t>4</t>
  </si>
  <si>
    <t>432522198708225197</t>
  </si>
  <si>
    <t>5</t>
  </si>
  <si>
    <t>445222199905212427</t>
  </si>
  <si>
    <t>6</t>
  </si>
  <si>
    <t>452730198408225026</t>
  </si>
  <si>
    <t>7</t>
  </si>
  <si>
    <t>420923199301136247</t>
  </si>
  <si>
    <t>8</t>
  </si>
  <si>
    <t>420625198702084451</t>
  </si>
  <si>
    <t>9</t>
  </si>
  <si>
    <t>441423198801222718</t>
  </si>
  <si>
    <t>2095.80</t>
  </si>
  <si>
    <t>1469.26</t>
  </si>
  <si>
    <t>10</t>
  </si>
  <si>
    <t>432503199204260322</t>
  </si>
  <si>
    <t>11</t>
  </si>
  <si>
    <t>440921199510020057</t>
  </si>
  <si>
    <t>15617.94</t>
  </si>
  <si>
    <t>4837.26</t>
  </si>
  <si>
    <t>10780.68</t>
  </si>
  <si>
    <t>8600.00</t>
  </si>
  <si>
    <t>4300.00</t>
  </si>
  <si>
    <t>1412.72</t>
  </si>
  <si>
    <t>470.94</t>
  </si>
  <si>
    <t>370.04</t>
  </si>
  <si>
    <t>132.64</t>
  </si>
  <si>
    <t>265.28</t>
  </si>
  <si>
    <t>66.32</t>
  </si>
  <si>
    <t>备注：本月减少罗银喜</t>
  </si>
  <si>
    <t>深圳市海轮电商咨询有限公司</t>
  </si>
  <si>
    <t>360423199610272927</t>
  </si>
  <si>
    <t>441481200210194413</t>
  </si>
  <si>
    <t>421083198708081229</t>
  </si>
  <si>
    <t>1800.83</t>
  </si>
  <si>
    <t>1279.25</t>
  </si>
  <si>
    <t>44162119971203446X</t>
  </si>
  <si>
    <t>441225200211192231</t>
  </si>
  <si>
    <t>450881200202121161</t>
  </si>
  <si>
    <t>350424200404167712</t>
  </si>
  <si>
    <t>441422199805151820</t>
  </si>
  <si>
    <t>440902199503112827</t>
  </si>
  <si>
    <t>362426199012013571</t>
  </si>
  <si>
    <t>14397.42</t>
  </si>
  <si>
    <t>4408.60</t>
  </si>
  <si>
    <t>9988.82</t>
  </si>
  <si>
    <t>7640.00</t>
  </si>
  <si>
    <t>3820.00</t>
  </si>
  <si>
    <t>1614.52</t>
  </si>
  <si>
    <t>538.20</t>
  </si>
  <si>
    <t>336.40</t>
  </si>
  <si>
    <t>100.80</t>
  </si>
  <si>
    <t>201.60</t>
  </si>
  <si>
    <t>50.40</t>
  </si>
  <si>
    <t>95.50</t>
  </si>
  <si>
    <t>备注：本月减少3人（黄宇清、吴凯迪、谭秀英）</t>
  </si>
  <si>
    <t>深圳市璟璃贸易有限公司</t>
  </si>
  <si>
    <t>440781200008285026</t>
  </si>
  <si>
    <t>421127199801051912</t>
  </si>
  <si>
    <t>441422199807231824</t>
  </si>
  <si>
    <t>412825200009183313</t>
  </si>
  <si>
    <t>440582198403062629</t>
  </si>
  <si>
    <t>445224200208083699</t>
  </si>
  <si>
    <t>421281199708210011</t>
  </si>
  <si>
    <t>441781199811134118</t>
  </si>
  <si>
    <t>36030220010730001X</t>
  </si>
  <si>
    <t>44122419961001094X</t>
  </si>
  <si>
    <t>500101199408172529</t>
  </si>
  <si>
    <t>12</t>
  </si>
  <si>
    <t>431024199811224829</t>
  </si>
  <si>
    <t>13</t>
  </si>
  <si>
    <t>430482200105134922</t>
  </si>
  <si>
    <t>14</t>
  </si>
  <si>
    <t>441427198001101526</t>
  </si>
  <si>
    <t>15</t>
  </si>
  <si>
    <t>362525199107020028</t>
  </si>
  <si>
    <t>16</t>
  </si>
  <si>
    <t>441581200103064272</t>
  </si>
  <si>
    <t>17</t>
  </si>
  <si>
    <t>410724200507041015</t>
  </si>
  <si>
    <t>18</t>
  </si>
  <si>
    <t>411721200302090341</t>
  </si>
  <si>
    <t>19</t>
  </si>
  <si>
    <t>441423200011262723</t>
  </si>
  <si>
    <t>20</t>
  </si>
  <si>
    <t>441423198703292712</t>
  </si>
  <si>
    <t>21</t>
  </si>
  <si>
    <t>411526199204151353</t>
  </si>
  <si>
    <t>22</t>
  </si>
  <si>
    <t>441723200012301022</t>
  </si>
  <si>
    <t>23</t>
  </si>
  <si>
    <t>362522200301076021</t>
  </si>
  <si>
    <t>440781199706123125</t>
  </si>
  <si>
    <t>25</t>
  </si>
  <si>
    <t>440582199806304260</t>
  </si>
  <si>
    <t>26</t>
  </si>
  <si>
    <t>450603200211250678</t>
  </si>
  <si>
    <t>38697.10</t>
  </si>
  <si>
    <t>11744.88</t>
  </si>
  <si>
    <t>26952.22</t>
  </si>
  <si>
    <t>19864.00</t>
  </si>
  <si>
    <t>9932.00</t>
  </si>
  <si>
    <t>5045.34</t>
  </si>
  <si>
    <t>1681.84</t>
  </si>
  <si>
    <t>874.64</t>
  </si>
  <si>
    <t>262.08</t>
  </si>
  <si>
    <t>524.16</t>
  </si>
  <si>
    <t>131.04</t>
  </si>
  <si>
    <t>备注：本月增员9人（含4位变更人员）：黄云宝、李佳凤、伍宇晴、邓佳琪、洪诗星、（罗银喜、吴伟君、罗洁敏、余仕梦）；本月减少2人（樊丽萍、张奕舜）</t>
  </si>
  <si>
    <t>深圳市伍航贸易有限公司</t>
  </si>
  <si>
    <t>452624198504172590</t>
  </si>
  <si>
    <t>441521199212034118</t>
  </si>
  <si>
    <t>441423198305262315</t>
  </si>
  <si>
    <t>452427199101080627</t>
  </si>
  <si>
    <t>445281199801270841</t>
  </si>
  <si>
    <t>362427198910137359</t>
  </si>
  <si>
    <t>440282200107272211</t>
  </si>
  <si>
    <t>441421197212132717</t>
  </si>
  <si>
    <t>452727199906233228</t>
  </si>
  <si>
    <t>44142319820625271X</t>
  </si>
  <si>
    <t>452730197809115026</t>
  </si>
  <si>
    <t>445224199902090930</t>
  </si>
  <si>
    <t>422724196810095459</t>
  </si>
  <si>
    <t>430181199303073720</t>
  </si>
  <si>
    <t>430381200201200166</t>
  </si>
  <si>
    <t>441622198401160313</t>
  </si>
  <si>
    <t>452424199003220033</t>
  </si>
  <si>
    <t>25101.40</t>
  </si>
  <si>
    <t>7660.12</t>
  </si>
  <si>
    <t>17441.28</t>
  </si>
  <si>
    <t>13184.00</t>
  </si>
  <si>
    <t>6592.00</t>
  </si>
  <si>
    <t>2926.31</t>
  </si>
  <si>
    <t>975.48</t>
  </si>
  <si>
    <t>571.88</t>
  </si>
  <si>
    <t>185.28</t>
  </si>
  <si>
    <t>370.56</t>
  </si>
  <si>
    <t>92.64</t>
  </si>
  <si>
    <t>203.25</t>
  </si>
  <si>
    <t>深圳市智诚汇贸易有限公司</t>
  </si>
  <si>
    <t>445221198811166000</t>
  </si>
  <si>
    <t>521.58</t>
  </si>
  <si>
    <t>单位编号</t>
  </si>
  <si>
    <t>单位名称</t>
  </si>
  <si>
    <t>个人编号</t>
  </si>
  <si>
    <t>身份证号</t>
  </si>
  <si>
    <t>应缴类型</t>
  </si>
  <si>
    <t>台账时间</t>
  </si>
  <si>
    <t>费款所属期</t>
  </si>
  <si>
    <t>缴费基数</t>
  </si>
  <si>
    <t>养老单位缴</t>
  </si>
  <si>
    <t>养老个人缴</t>
  </si>
  <si>
    <t>失业单位缴</t>
  </si>
  <si>
    <t>失业个人缴</t>
  </si>
  <si>
    <t>工伤缴费额</t>
  </si>
  <si>
    <t>总计</t>
  </si>
  <si>
    <t>个人缴</t>
  </si>
  <si>
    <t>社保医保个人缴</t>
  </si>
  <si>
    <t>社保医保单位缴</t>
  </si>
  <si>
    <t>钦州市韵晟贸易有限公司</t>
  </si>
  <si>
    <t>正常应缴</t>
  </si>
  <si>
    <t>单位职工缴费明细</t>
  </si>
  <si>
    <t>单位编号：45070000002200201313</t>
  </si>
  <si>
    <t>单位名称：钦州市韵晟贸易有限公司</t>
  </si>
  <si>
    <t>导出时间：2026年4月17日</t>
  </si>
  <si>
    <t>人员编号</t>
  </si>
  <si>
    <t>人员姓名</t>
  </si>
  <si>
    <t>险种离退休标志</t>
  </si>
  <si>
    <t>缴费标志</t>
  </si>
  <si>
    <t>起始费款所属期</t>
  </si>
  <si>
    <t>截至费款所属期</t>
  </si>
  <si>
    <t>险种</t>
  </si>
  <si>
    <t>缴费类型</t>
  </si>
  <si>
    <t>个人缴费基数(元)</t>
  </si>
  <si>
    <t>单位应缴金额(元)</t>
  </si>
  <si>
    <t>个人应缴金额(元)</t>
  </si>
  <si>
    <t>缴费总金额(元)</t>
  </si>
  <si>
    <t>划拨总金额(元)</t>
  </si>
  <si>
    <t>滞纳金(元)</t>
  </si>
  <si>
    <t>45000000000008100147708758</t>
  </si>
  <si>
    <t>450702199907020321</t>
  </si>
  <si>
    <t>在职</t>
  </si>
  <si>
    <t>足额缴纳</t>
  </si>
  <si>
    <t>职工基本医疗保险</t>
  </si>
  <si>
    <t>45000000000008100151501792</t>
  </si>
  <si>
    <t>450702199711209026</t>
  </si>
  <si>
    <t>45000000000008100146128595</t>
  </si>
  <si>
    <t>450721199007256346</t>
  </si>
  <si>
    <t>45000000000008100150510904</t>
  </si>
  <si>
    <t>450722198806156968</t>
  </si>
  <si>
    <t>45000000000008100149396995</t>
  </si>
  <si>
    <t>450703199806036945</t>
  </si>
  <si>
    <t>人数:5人</t>
  </si>
  <si>
    <t/>
  </si>
  <si>
    <t>合计数:</t>
  </si>
  <si>
    <t>单位正常缴费明细</t>
  </si>
  <si>
    <t>电脑号</t>
  </si>
  <si>
    <t>养老保险</t>
  </si>
  <si>
    <t>工伤保险</t>
  </si>
  <si>
    <t>失业保险</t>
  </si>
  <si>
    <t>医疗保险</t>
  </si>
  <si>
    <t>生育医疗</t>
  </si>
  <si>
    <t>大额医疗</t>
  </si>
  <si>
    <t>应收合计</t>
  </si>
  <si>
    <t>个人合计</t>
  </si>
  <si>
    <t>单位合计</t>
  </si>
  <si>
    <t>个人交</t>
  </si>
  <si>
    <t>单位交</t>
  </si>
  <si>
    <t>公司</t>
  </si>
  <si>
    <t>420582198712165417</t>
  </si>
  <si>
    <t>武汉市鑫云虹贸易有限公司</t>
  </si>
  <si>
    <t>420114198901072246</t>
  </si>
  <si>
    <t>422802199812072622</t>
  </si>
  <si>
    <t>420881199710144422</t>
  </si>
  <si>
    <t>421281199807171724</t>
  </si>
  <si>
    <t>421087199604233726</t>
  </si>
  <si>
    <t>420582199305047928</t>
  </si>
  <si>
    <t>429005200011105241</t>
  </si>
  <si>
    <t>429004199708293682</t>
  </si>
  <si>
    <t>429006200110260323</t>
  </si>
  <si>
    <t>421125199812053320</t>
  </si>
  <si>
    <t>360424199909156900</t>
  </si>
  <si>
    <t>422202198903112442</t>
  </si>
  <si>
    <t>武汉市闪盒贸易有限公司</t>
  </si>
  <si>
    <t>420703199309208720</t>
  </si>
  <si>
    <t>420503199906265247</t>
  </si>
  <si>
    <t>429004200006163467</t>
  </si>
  <si>
    <t>421002200108184541</t>
  </si>
  <si>
    <t>合计</t>
  </si>
  <si>
    <t>养老三险小计：19314.45</t>
  </si>
  <si>
    <t>医疗三险小计：8300.93</t>
  </si>
  <si>
    <t xml:space="preserve">  备注：鑫云虹4月份社保减员1人（李丽-2026/4/3离职）。
        闪盒4月份社保无增减员。</t>
  </si>
  <si>
    <t>2026年4月社保缴费明细</t>
  </si>
  <si>
    <t>大病医疗</t>
  </si>
  <si>
    <t>430681199406180067</t>
  </si>
  <si>
    <t>长沙欧飞科技有限公司</t>
  </si>
  <si>
    <t>420625199307105616</t>
  </si>
  <si>
    <t>430528200005050526</t>
  </si>
  <si>
    <t>社会保险费申报个人明细表</t>
  </si>
  <si>
    <t>统一社会信用代码(纳税人识别号)：</t>
  </si>
  <si>
    <t>91441900MAEJ7NKY6L</t>
  </si>
  <si>
    <t>纳税人名称：</t>
  </si>
  <si>
    <t>东莞市阔海供应链有限公司</t>
  </si>
  <si>
    <t>社保管理机构：</t>
  </si>
  <si>
    <t>塘厦社会保险经办机构</t>
  </si>
  <si>
    <t>税务管理机关：</t>
  </si>
  <si>
    <t>国家税务总局东莞市税务局塘厦税务分局</t>
  </si>
  <si>
    <t>单位社保号：</t>
  </si>
  <si>
    <t>611912770773</t>
  </si>
  <si>
    <t>费款所属期：</t>
  </si>
  <si>
    <t>2026-04至2026-04</t>
  </si>
  <si>
    <t>单位：元</t>
  </si>
  <si>
    <t>证件类型</t>
  </si>
  <si>
    <t>个人社保号</t>
  </si>
  <si>
    <t>企业基本养老保险(单位缴纳)</t>
  </si>
  <si>
    <t>企业基本养老保险(个人缴纳)</t>
  </si>
  <si>
    <t>失业保险(单位缴纳)</t>
  </si>
  <si>
    <t>失业保险(个人缴纳)</t>
  </si>
  <si>
    <t>单建统筹职工医保（含生育）（单位缴纳）</t>
  </si>
  <si>
    <t>单建统筹职工医保（含生育）（个人缴纳）</t>
  </si>
  <si>
    <t>单位部分合计</t>
  </si>
  <si>
    <t>个人部分合计</t>
  </si>
  <si>
    <t>应缴金额合计</t>
  </si>
  <si>
    <t>应缴金额</t>
  </si>
  <si>
    <t>422822199912052026</t>
  </si>
  <si>
    <t>居民身份证</t>
  </si>
  <si>
    <t>1105000059411007</t>
  </si>
  <si>
    <t>4775.00</t>
  </si>
  <si>
    <t>38.20</t>
  </si>
  <si>
    <t>9.55</t>
  </si>
  <si>
    <t>143.25</t>
  </si>
  <si>
    <t>23.88</t>
  </si>
  <si>
    <t>19.10</t>
  </si>
  <si>
    <t>964.55</t>
  </si>
  <si>
    <t>1379.98</t>
  </si>
  <si>
    <t>440982199707303416</t>
  </si>
  <si>
    <t>1117000010578514</t>
  </si>
  <si>
    <t>91440101MA5CW5YE6U</t>
  </si>
  <si>
    <t>广州鲸灵科技有限公司</t>
  </si>
  <si>
    <t>广州市社会保险基金管理中心</t>
  </si>
  <si>
    <t>国家税务总局广州市番禺区税务局南村税务所</t>
  </si>
  <si>
    <t>110398172817</t>
  </si>
  <si>
    <t>基本养老保险(单位缴纳)</t>
  </si>
  <si>
    <t>基本养老保险(个人缴纳)</t>
  </si>
  <si>
    <t>基本医疗保险（含生育）(单位缴纳)</t>
  </si>
  <si>
    <t>基本医疗保险（含生育）(个人缴纳)</t>
  </si>
  <si>
    <t>360681199401136130</t>
  </si>
  <si>
    <t>1103003002586865</t>
  </si>
  <si>
    <t>5510.00</t>
  </si>
  <si>
    <t>881.60</t>
  </si>
  <si>
    <t>440.80</t>
  </si>
  <si>
    <t>2500.00</t>
  </si>
  <si>
    <t>20.00</t>
  </si>
  <si>
    <t>5.00</t>
  </si>
  <si>
    <t>6234.00</t>
  </si>
  <si>
    <t>427.03</t>
  </si>
  <si>
    <t>124.68</t>
  </si>
  <si>
    <t>1333.63</t>
  </si>
  <si>
    <t>1904.11</t>
  </si>
  <si>
    <t>460001198603240731</t>
  </si>
  <si>
    <t>1103003002860248</t>
  </si>
  <si>
    <t>441481199608186098</t>
  </si>
  <si>
    <t>1103003004384499</t>
  </si>
  <si>
    <t>单位名称：深圳市凌吟科技有限公司</t>
  </si>
  <si>
    <t>单位账号：1014409861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</si>
  <si>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</si>
  <si>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</si>
  <si>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</si>
  <si>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</si>
  <si>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</si>
  <si>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</si>
  <si>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20639970945</t>
  </si>
  <si>
    <t>202604-202604</t>
  </si>
  <si>
    <t>10000</t>
  </si>
  <si>
    <t>0.05</t>
  </si>
  <si>
    <t>1000</t>
  </si>
  <si>
    <t>22162455122</t>
  </si>
  <si>
    <t>2360</t>
  </si>
  <si>
    <t>单位名称：深圳市嘉腾贸易有限公司</t>
  </si>
  <si>
    <t>单位账号：1016785490</t>
  </si>
  <si>
    <t>20579863054</t>
  </si>
  <si>
    <t>单位名称：深圳市卓悦贸易代理有限公司</t>
  </si>
  <si>
    <t>单位账号：1120934458</t>
  </si>
  <si>
    <t>20208619339</t>
  </si>
  <si>
    <t>21390724496</t>
  </si>
  <si>
    <t>21218615650</t>
  </si>
  <si>
    <t>20434703839</t>
  </si>
  <si>
    <t>20404794068</t>
  </si>
  <si>
    <t>21094355855</t>
  </si>
  <si>
    <t>20422958301</t>
  </si>
  <si>
    <t>21362036564</t>
  </si>
  <si>
    <t>20318006367</t>
  </si>
  <si>
    <t>21945485018</t>
  </si>
  <si>
    <t>22111363526</t>
  </si>
  <si>
    <t>2520</t>
  </si>
  <si>
    <t>252</t>
  </si>
  <si>
    <t>单位名称：深圳市海轮电商咨询有限公司</t>
  </si>
  <si>
    <t>单位账号：1191672409</t>
  </si>
  <si>
    <t>21890694160</t>
  </si>
  <si>
    <t>21511392167</t>
  </si>
  <si>
    <t>21371396527</t>
  </si>
  <si>
    <t>21359063819</t>
  </si>
  <si>
    <t>21109230442</t>
  </si>
  <si>
    <t>22314779475</t>
  </si>
  <si>
    <t>22151581180</t>
  </si>
  <si>
    <t>22152830829</t>
  </si>
  <si>
    <t>22048002684</t>
  </si>
  <si>
    <t>单位名称：深圳市智诚汇贸易有限公司</t>
  </si>
  <si>
    <t>单位账号：1340706443</t>
  </si>
  <si>
    <t>21066363821</t>
  </si>
  <si>
    <t>单位名称：深圳市伍航贸易有限公司</t>
  </si>
  <si>
    <t>单位账号：1366206581</t>
  </si>
  <si>
    <t>21038828680</t>
  </si>
  <si>
    <t>21272766960</t>
  </si>
  <si>
    <t>21568250748</t>
  </si>
  <si>
    <t>21878209663</t>
  </si>
  <si>
    <t>21853492620</t>
  </si>
  <si>
    <t>21627631880</t>
  </si>
  <si>
    <t>21066363950</t>
  </si>
  <si>
    <t>21284344658</t>
  </si>
  <si>
    <t>21642622970</t>
  </si>
  <si>
    <t>21782435301</t>
  </si>
  <si>
    <t>20365272774</t>
  </si>
  <si>
    <t>20629650658</t>
  </si>
  <si>
    <t>21969630719</t>
  </si>
  <si>
    <t>22151659411</t>
  </si>
  <si>
    <t>22056414989</t>
  </si>
  <si>
    <t>22193821503</t>
  </si>
  <si>
    <t>单位名称：深圳市璟璃贸易有限公司</t>
  </si>
  <si>
    <t>单位账号：1370955187</t>
  </si>
  <si>
    <t>21690759805</t>
  </si>
  <si>
    <t>21875907855</t>
  </si>
  <si>
    <t>21682532213</t>
  </si>
  <si>
    <t>21655448704</t>
  </si>
  <si>
    <t>21653260253</t>
  </si>
  <si>
    <t>21066364270</t>
  </si>
  <si>
    <t>20000</t>
  </si>
  <si>
    <t>2000</t>
  </si>
  <si>
    <t>21804515583</t>
  </si>
  <si>
    <t>22314780487</t>
  </si>
  <si>
    <t>21782393639</t>
  </si>
  <si>
    <t>22303914872</t>
  </si>
  <si>
    <t>20917027228</t>
  </si>
  <si>
    <t>21736140064</t>
  </si>
  <si>
    <t>22281044702</t>
  </si>
  <si>
    <t>22178410091</t>
  </si>
  <si>
    <t>21960029372</t>
  </si>
  <si>
    <t>22151681484</t>
  </si>
  <si>
    <t>22271163307</t>
  </si>
  <si>
    <t>22271163436</t>
  </si>
  <si>
    <t>21920371132</t>
  </si>
  <si>
    <t>22246283710</t>
  </si>
  <si>
    <t>22247507011</t>
  </si>
  <si>
    <t>22214413594</t>
  </si>
  <si>
    <t>22103645055</t>
  </si>
  <si>
    <t>22101183490</t>
  </si>
  <si>
    <t>22180713563</t>
  </si>
  <si>
    <t>22324257833</t>
  </si>
  <si>
    <t>业务摘要</t>
  </si>
  <si>
    <t>发生额</t>
  </si>
  <si>
    <t>业务日期</t>
  </si>
  <si>
    <t>0267434</t>
  </si>
  <si>
    <t>汇缴202604公积金</t>
  </si>
  <si>
    <t>220.00</t>
  </si>
  <si>
    <t>2026-04-13</t>
  </si>
  <si>
    <t>0267438</t>
  </si>
  <si>
    <t>0272774</t>
  </si>
  <si>
    <t>0272775</t>
  </si>
  <si>
    <t>0316293</t>
  </si>
  <si>
    <t>单位汇缴明细清单</t>
  </si>
  <si>
    <t>单位账号</t>
  </si>
  <si>
    <t>汇缴年月</t>
  </si>
  <si>
    <t>缴存基数</t>
  </si>
  <si>
    <t>单位月缴存额</t>
  </si>
  <si>
    <t>841258553</t>
  </si>
  <si>
    <t>826825989</t>
  </si>
  <si>
    <t>846058972</t>
  </si>
  <si>
    <t>846058973</t>
  </si>
  <si>
    <t>847225592</t>
  </si>
  <si>
    <t>847406439</t>
  </si>
  <si>
    <t>847626332</t>
  </si>
  <si>
    <t>841258575</t>
  </si>
  <si>
    <t>844832342</t>
  </si>
  <si>
    <t>847123550</t>
  </si>
  <si>
    <t xml:space="preserve">  备注：鑫云虹4月份公积金减员1人（李丽-2026/4/3离职）。
        闪盒4月份公积金无增减员。</t>
  </si>
  <si>
    <t>2026年4月份公积金汇缴明细清单</t>
  </si>
  <si>
    <t>月缴存额</t>
  </si>
  <si>
    <t>09000160</t>
  </si>
  <si>
    <t>05000235769845</t>
  </si>
  <si>
    <t>05000236211670</t>
  </si>
  <si>
    <t>05000247128504</t>
  </si>
  <si>
    <t>东莞</t>
  </si>
  <si>
    <t>汇缴</t>
  </si>
  <si>
    <t>单位缴存额</t>
  </si>
  <si>
    <t>个人缴存额</t>
  </si>
  <si>
    <t>月缴额</t>
  </si>
  <si>
    <t>缴存年月</t>
  </si>
  <si>
    <t>2548613180</t>
  </si>
  <si>
    <t>身份证</t>
  </si>
  <si>
    <t>5%</t>
  </si>
  <si>
    <t>1820415474</t>
  </si>
  <si>
    <t>张梅华</t>
  </si>
  <si>
    <t>陶眯</t>
  </si>
  <si>
    <t>叶凯镇</t>
  </si>
  <si>
    <t>王丹丹</t>
  </si>
  <si>
    <t>查蒙蒙</t>
  </si>
  <si>
    <t>罗进平</t>
  </si>
  <si>
    <t>傅巧珍</t>
  </si>
  <si>
    <t>李志杰</t>
  </si>
  <si>
    <t>肖月诗</t>
  </si>
  <si>
    <t>黄文晴</t>
  </si>
  <si>
    <t>刘慧君</t>
  </si>
  <si>
    <t>木尼然·卡哈尔曼</t>
  </si>
  <si>
    <t>周晓彤</t>
  </si>
  <si>
    <t>庄巧宝</t>
  </si>
  <si>
    <t>刘晴</t>
  </si>
  <si>
    <t>陈宇聪</t>
  </si>
  <si>
    <t>曾帅</t>
  </si>
  <si>
    <t>赵小莉</t>
  </si>
  <si>
    <t>李嘉玲</t>
  </si>
  <si>
    <t>叶雯怡</t>
  </si>
  <si>
    <t>孙晓璐</t>
  </si>
  <si>
    <t>洪枫</t>
  </si>
  <si>
    <t>陈红</t>
  </si>
  <si>
    <t>黎就高</t>
  </si>
  <si>
    <t>黄宇清</t>
  </si>
  <si>
    <t>施嘉怡</t>
  </si>
  <si>
    <t>林心桓</t>
  </si>
  <si>
    <t>李翠云</t>
  </si>
  <si>
    <t>郭威</t>
  </si>
  <si>
    <t>姚海城</t>
  </si>
  <si>
    <t>徐亮</t>
  </si>
  <si>
    <t>金燕菊</t>
  </si>
  <si>
    <t>黄丽辉</t>
  </si>
  <si>
    <t>黄鹏</t>
  </si>
  <si>
    <t>冯道明</t>
  </si>
  <si>
    <t>庄扬</t>
  </si>
  <si>
    <t>曹璐颖</t>
  </si>
  <si>
    <t>许怡</t>
  </si>
  <si>
    <t>张圆圆</t>
  </si>
  <si>
    <t>郑淇芳</t>
  </si>
  <si>
    <t>王春苹</t>
  </si>
  <si>
    <t>尹佳龙</t>
  </si>
  <si>
    <t>王秋妹</t>
  </si>
  <si>
    <t>陈佳玲</t>
  </si>
  <si>
    <t>杨梦露</t>
  </si>
  <si>
    <t>黄雨秋</t>
  </si>
  <si>
    <t>张云瑶</t>
  </si>
  <si>
    <t>刘悦</t>
  </si>
  <si>
    <t>鲁奇峰</t>
  </si>
  <si>
    <t>张丽</t>
  </si>
  <si>
    <t>唐慧玲</t>
  </si>
  <si>
    <t>黄晨</t>
  </si>
  <si>
    <t>李丽</t>
  </si>
  <si>
    <t>彭靖慧</t>
  </si>
  <si>
    <t>邱奥妮</t>
  </si>
  <si>
    <t>欧阳滔</t>
  </si>
  <si>
    <t>隆珊珊</t>
  </si>
  <si>
    <t>谭晓文</t>
  </si>
  <si>
    <t>段梦珂</t>
  </si>
  <si>
    <t>周雯杰</t>
  </si>
  <si>
    <t>谢凤珍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</si>
</sst>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_);[Red]\(0.00\)"/>
    <numFmt numFmtId="178" formatCode="0.00_ "/>
    <numFmt numFmtId="179" formatCode="0_);[Red]\(0\)"/>
    <numFmt numFmtId="180" formatCode="yyyy/m/d;@"/>
    <numFmt numFmtId="181" formatCode="0_ "/>
  </numFmts>
  <fonts count="99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0.5"/>
      <name val="宋体"/>
      <charset val="0"/>
    </font>
    <font>
      <sz val="10.5"/>
      <color rgb="FF000000"/>
      <name val="宋体"/>
      <charset val="134"/>
    </font>
    <font>
      <sz val="10"/>
      <name val="宋体"/>
      <charset val="0"/>
    </font>
    <font>
      <sz val="10"/>
      <name val="Arial"/>
      <charset val="0"/>
    </font>
    <font>
      <b/>
      <sz val="10"/>
      <color rgb="FF000000"/>
      <name val="宋体"/>
      <charset val="134"/>
    </font>
    <font>
      <b/>
      <sz val="10"/>
      <name val="宋体"/>
      <charset val="1"/>
    </font>
    <font>
      <b/>
      <sz val="11"/>
      <color rgb="FF000000"/>
      <name val="宋体"/>
      <charset val="134"/>
    </font>
    <font>
      <sz val="18"/>
      <name val="宋体"/>
      <charset val="0"/>
    </font>
    <font>
      <sz val="10.5"/>
      <name val="宋体"/>
      <charset val="134"/>
    </font>
    <font>
      <b/>
      <sz val="16"/>
      <name val="宋体"/>
      <charset val="0"/>
    </font>
    <font>
      <b/>
      <sz val="11"/>
      <name val="宋体"/>
      <charset val="0"/>
    </font>
    <font>
      <sz val="11"/>
      <name val="宋体"/>
      <charset val="0"/>
    </font>
    <font>
      <sz val="12"/>
      <name val="宋体"/>
      <charset val="134"/>
    </font>
    <font>
      <b/>
      <sz val="18"/>
      <color rgb="FF000000"/>
      <name val="宋体"/>
      <charset val="0"/>
    </font>
    <font>
      <sz val="9"/>
      <color rgb="FF000000"/>
      <name val="宋体"/>
      <charset val="0"/>
    </font>
    <font>
      <sz val="10"/>
      <color rgb="FF000000"/>
      <name val="宋体"/>
      <charset val="0"/>
    </font>
    <font>
      <b/>
      <sz val="11"/>
      <color rgb="FF000000"/>
      <name val="??"/>
      <charset val="134"/>
    </font>
    <font>
      <sz val="11"/>
      <color rgb="FF000000"/>
      <name val="??"/>
      <charset val="134"/>
    </font>
    <font>
      <b/>
      <sz val="11"/>
      <color auto="1" tint="2.59928745077038e-167"/>
      <name val="??"/>
      <charset val="134"/>
    </font>
    <font>
      <b/>
      <sz val="11"/>
      <color auto="1" tint="2.59928754795528e-167"/>
      <name val="??"/>
      <charset val="134"/>
    </font>
    <font>
      <b/>
      <sz val="11"/>
      <color auto="1" tint="3.69048488330835e-171"/>
      <name val="??"/>
      <charset val="134"/>
    </font>
    <font>
      <b/>
      <sz val="11"/>
      <color auto="1" tint="2.59928754795271e-167"/>
      <name val="宋体"/>
      <charset val="134"/>
    </font>
    <font>
      <b/>
      <sz val="11"/>
      <color auto="1" tint="4.79333791577159e-171"/>
      <name val="宋体"/>
      <charset val="134"/>
    </font>
    <font>
      <b/>
      <sz val="11"/>
      <color auto="1" tint="4.79333798622454e-171"/>
      <name val="宋体"/>
      <charset val="134"/>
    </font>
    <font>
      <b/>
      <sz val="11"/>
      <color auto="1" tint="2.59928760703003e-167"/>
      <name val="宋体"/>
      <charset val="134"/>
    </font>
    <font>
      <b/>
      <sz val="11"/>
      <color rgb="FFFF0000"/>
      <name val="宋体"/>
      <charset val="134"/>
    </font>
    <font>
      <b/>
      <sz val="12"/>
      <color auto="1" tint="2.59928745077038e-167"/>
      <name val="??"/>
      <charset val="134"/>
    </font>
    <font>
      <sz val="11"/>
      <color auto="1" tint="2.59928745077038e-167"/>
      <name val="??"/>
      <charset val="134"/>
    </font>
    <font>
      <b/>
      <sz val="12"/>
      <color auto="1" tint="2.59928754795528e-167"/>
      <name val="??"/>
      <charset val="134"/>
    </font>
    <font>
      <sz val="11"/>
      <color auto="1" tint="2.59928754795528e-167"/>
      <name val="??"/>
      <charset val="134"/>
    </font>
    <font>
      <b/>
      <sz val="12"/>
      <color auto="1" tint="3.69048488330835e-171"/>
      <name val="??"/>
      <charset val="134"/>
    </font>
    <font>
      <sz val="11"/>
      <color auto="1" tint="3.69048488330835e-171"/>
      <name val="??"/>
      <charset val="134"/>
    </font>
    <font>
      <b/>
      <sz val="12"/>
      <color auto="1" tint="2.59928754795271e-167"/>
      <name val="宋体"/>
      <charset val="134"/>
    </font>
    <font>
      <sz val="11"/>
      <color auto="1" tint="2.59928754795271e-167"/>
      <name val="宋体"/>
      <charset val="134"/>
    </font>
    <font>
      <b/>
      <sz val="12"/>
      <color auto="1" tint="4.79333791577159e-171"/>
      <name val="宋体"/>
      <charset val="134"/>
    </font>
    <font>
      <sz val="11"/>
      <color auto="1" tint="4.79333791577159e-171"/>
      <name val="宋体"/>
      <charset val="134"/>
    </font>
    <font>
      <b/>
      <sz val="12"/>
      <color auto="1" tint="4.79333798622454e-171"/>
      <name val="宋体"/>
      <charset val="134"/>
    </font>
    <font>
      <sz val="11"/>
      <color auto="1" tint="4.79333798622454e-171"/>
      <name val="宋体"/>
      <charset val="134"/>
    </font>
    <font>
      <b/>
      <sz val="12"/>
      <color auto="1" tint="2.59928760703003e-167"/>
      <name val="宋体"/>
      <charset val="134"/>
    </font>
    <font>
      <sz val="11"/>
      <color auto="1" tint="2.59928760703003e-167"/>
      <name val="宋体"/>
      <charset val="134"/>
    </font>
    <font>
      <b/>
      <sz val="15"/>
      <color rgb="FF000000"/>
      <name val="Calibri"/>
      <charset val="134"/>
    </font>
    <font>
      <b/>
      <sz val="12"/>
      <color rgb="FFFF0000"/>
      <name val="Calibri"/>
      <charset val="134"/>
    </font>
    <font>
      <b/>
      <sz val="18"/>
      <name val="宋体"/>
      <charset val="0"/>
    </font>
    <font>
      <b/>
      <sz val="14"/>
      <name val="宋体"/>
      <charset val="0"/>
    </font>
    <font>
      <sz val="11"/>
      <name val="Arial"/>
      <charset val="0"/>
    </font>
    <font>
      <sz val="15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20"/>
      <name val="宋体"/>
      <charset val="134"/>
    </font>
    <font>
      <sz val="11"/>
      <color rgb="FF008000"/>
      <name val="宋体"/>
      <charset val="134"/>
    </font>
    <font>
      <sz val="8"/>
      <name val="Arial"/>
      <charset val="0"/>
    </font>
    <font>
      <sz val="8"/>
      <color rgb="FFFF0000"/>
      <name val="Arial"/>
      <charset val="0"/>
    </font>
    <font>
      <b/>
      <sz val="12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4"/>
      <color rgb="FF000000"/>
      <name val="宋体"/>
      <charset val="134"/>
      <scheme val="major"/>
    </font>
    <font>
      <sz val="12"/>
      <color indexed="8"/>
      <name val="宋体"/>
      <charset val="134"/>
    </font>
    <font>
      <sz val="11"/>
      <color theme="1"/>
      <name val="Calibri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2"/>
      <color rgb="FF000000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宋体"/>
      <charset val="134"/>
      <scheme val="maj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Calibri"/>
      <charset val="134"/>
    </font>
    <font>
      <sz val="9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9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EDFE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D6E2FF"/>
        <bgColor indexed="64"/>
      </patternFill>
    </fill>
    <fill>
      <patternFill patternType="solid">
        <fgColor rgb="FFFDDBDA"/>
        <bgColor indexed="64"/>
      </patternFill>
    </fill>
    <fill>
      <patternFill patternType="solid">
        <fgColor rgb="FFD0F2FF"/>
        <bgColor indexed="64"/>
      </patternFill>
    </fill>
    <fill>
      <patternFill patternType="solid">
        <fgColor rgb="FFF7E8B0"/>
        <bgColor rgb="FF000000"/>
      </patternFill>
    </fill>
    <fill>
      <patternFill patternType="solid">
        <fgColor rgb="FFFCE4D6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3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8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0" fillId="11" borderId="40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41" applyNumberFormat="0" applyFill="0" applyAlignment="0" applyProtection="0">
      <alignment vertical="center"/>
    </xf>
    <xf numFmtId="0" fontId="81" fillId="0" borderId="41" applyNumberFormat="0" applyFill="0" applyAlignment="0" applyProtection="0">
      <alignment vertical="center"/>
    </xf>
    <xf numFmtId="0" fontId="82" fillId="0" borderId="42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8" borderId="43" applyNumberFormat="0" applyAlignment="0" applyProtection="0">
      <alignment vertical="center"/>
    </xf>
    <xf numFmtId="0" fontId="84" fillId="29" borderId="44" applyNumberFormat="0" applyAlignment="0" applyProtection="0">
      <alignment vertical="center"/>
    </xf>
    <xf numFmtId="0" fontId="85" fillId="29" borderId="43" applyNumberFormat="0" applyAlignment="0" applyProtection="0">
      <alignment vertical="center"/>
    </xf>
    <xf numFmtId="0" fontId="86" fillId="30" borderId="45" applyNumberFormat="0" applyAlignment="0" applyProtection="0">
      <alignment vertical="center"/>
    </xf>
    <xf numFmtId="0" fontId="87" fillId="0" borderId="46" applyNumberFormat="0" applyFill="0" applyAlignment="0" applyProtection="0">
      <alignment vertical="center"/>
    </xf>
    <xf numFmtId="0" fontId="88" fillId="0" borderId="47" applyNumberFormat="0" applyFill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</cellStyleXfs>
  <cellXfs count="40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 shrinkToFit="1"/>
    </xf>
    <xf numFmtId="49" fontId="2" fillId="0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Border="1" applyAlignment="1"/>
    <xf numFmtId="0" fontId="10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13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14" fillId="5" borderId="1" xfId="0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49" fontId="15" fillId="0" borderId="4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right" vertical="center"/>
    </xf>
    <xf numFmtId="49" fontId="5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right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right" vertical="center"/>
    </xf>
    <xf numFmtId="0" fontId="9" fillId="0" borderId="9" xfId="0" applyFont="1" applyFill="1" applyBorder="1" applyAlignment="1">
      <alignment horizontal="right" vertical="center"/>
    </xf>
    <xf numFmtId="0" fontId="9" fillId="0" borderId="10" xfId="0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18" fillId="0" borderId="1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10" fontId="20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2" fillId="6" borderId="0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left" vertical="top" wrapText="1"/>
    </xf>
    <xf numFmtId="0" fontId="23" fillId="6" borderId="12" xfId="0" applyFont="1" applyFill="1" applyBorder="1" applyAlignment="1">
      <alignment horizontal="left" vertical="top" wrapText="1"/>
    </xf>
    <xf numFmtId="0" fontId="24" fillId="6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1" fontId="23" fillId="6" borderId="2" xfId="0" applyNumberFormat="1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2" fontId="23" fillId="6" borderId="2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9" fillId="0" borderId="0" xfId="0" applyFont="1" applyFill="1" applyAlignment="1">
      <alignment vertical="center"/>
    </xf>
    <xf numFmtId="0" fontId="29" fillId="0" borderId="0" xfId="0" applyFont="1" applyFill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Border="1" applyAlignment="1">
      <alignment vertical="center"/>
    </xf>
    <xf numFmtId="0" fontId="31" fillId="0" borderId="0" xfId="0" applyFont="1" applyFill="1" applyAlignment="1">
      <alignment vertical="center"/>
    </xf>
    <xf numFmtId="0" fontId="31" fillId="0" borderId="0" xfId="0" applyFont="1" applyFill="1" applyBorder="1" applyAlignment="1">
      <alignment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 applyBorder="1" applyAlignment="1">
      <alignment vertical="center"/>
    </xf>
    <xf numFmtId="0" fontId="33" fillId="0" borderId="0" xfId="0" applyFont="1" applyFill="1" applyAlignment="1">
      <alignment vertical="center"/>
    </xf>
    <xf numFmtId="0" fontId="33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1" fillId="0" borderId="0" xfId="0" applyNumberFormat="1" applyFont="1" applyFill="1" applyBorder="1" applyAlignment="1"/>
    <xf numFmtId="0" fontId="3" fillId="0" borderId="0" xfId="0" applyFont="1" applyFill="1" applyAlignme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/>
    <xf numFmtId="49" fontId="25" fillId="0" borderId="13" xfId="0" applyNumberFormat="1" applyFont="1" applyFill="1" applyBorder="1" applyAlignment="1">
      <alignment horizontal="left" vertical="center"/>
    </xf>
    <xf numFmtId="49" fontId="34" fillId="0" borderId="13" xfId="0" applyNumberFormat="1" applyFont="1" applyFill="1" applyBorder="1" applyAlignment="1">
      <alignment horizontal="left" vertical="center"/>
    </xf>
    <xf numFmtId="49" fontId="25" fillId="0" borderId="9" xfId="0" applyNumberFormat="1" applyFont="1" applyFill="1" applyBorder="1" applyAlignment="1">
      <alignment horizontal="left" vertical="center"/>
    </xf>
    <xf numFmtId="177" fontId="25" fillId="0" borderId="1" xfId="0" applyNumberFormat="1" applyFont="1" applyFill="1" applyBorder="1" applyAlignment="1">
      <alignment horizontal="center" vertical="center"/>
    </xf>
    <xf numFmtId="177" fontId="35" fillId="0" borderId="1" xfId="0" applyNumberFormat="1" applyFont="1" applyFill="1" applyBorder="1" applyAlignment="1">
      <alignment horizontal="center" vertical="center" wrapText="1"/>
    </xf>
    <xf numFmtId="177" fontId="25" fillId="0" borderId="8" xfId="0" applyNumberFormat="1" applyFont="1" applyFill="1" applyBorder="1" applyAlignment="1">
      <alignment horizontal="center" vertical="center" wrapText="1"/>
    </xf>
    <xf numFmtId="177" fontId="25" fillId="0" borderId="10" xfId="0" applyNumberFormat="1" applyFont="1" applyFill="1" applyBorder="1" applyAlignment="1">
      <alignment horizontal="center" vertical="center" wrapText="1"/>
    </xf>
    <xf numFmtId="177" fontId="25" fillId="0" borderId="8" xfId="0" applyNumberFormat="1" applyFont="1" applyFill="1" applyBorder="1" applyAlignment="1">
      <alignment horizontal="center" vertical="center"/>
    </xf>
    <xf numFmtId="177" fontId="25" fillId="0" borderId="10" xfId="0" applyNumberFormat="1" applyFont="1" applyFill="1" applyBorder="1" applyAlignment="1">
      <alignment horizontal="center" vertical="center"/>
    </xf>
    <xf numFmtId="49" fontId="25" fillId="0" borderId="14" xfId="0" applyNumberFormat="1" applyFont="1" applyFill="1" applyBorder="1" applyAlignment="1">
      <alignment horizontal="center" vertical="center"/>
    </xf>
    <xf numFmtId="49" fontId="25" fillId="0" borderId="1" xfId="0" applyNumberFormat="1" applyFont="1" applyFill="1" applyBorder="1" applyAlignment="1">
      <alignment horizontal="center" vertical="center"/>
    </xf>
    <xf numFmtId="49" fontId="27" fillId="0" borderId="8" xfId="0" applyNumberFormat="1" applyFont="1" applyFill="1" applyBorder="1" applyAlignment="1">
      <alignment horizontal="left" vertical="center"/>
    </xf>
    <xf numFmtId="49" fontId="27" fillId="0" borderId="10" xfId="0" applyNumberFormat="1" applyFont="1" applyFill="1" applyBorder="1" applyAlignment="1">
      <alignment horizontal="left" vertical="center"/>
    </xf>
    <xf numFmtId="49" fontId="26" fillId="0" borderId="1" xfId="0" applyNumberFormat="1" applyFont="1" applyFill="1" applyBorder="1" applyAlignment="1">
      <alignment horizontal="left" vertical="center"/>
    </xf>
    <xf numFmtId="177" fontId="26" fillId="0" borderId="1" xfId="0" applyNumberFormat="1" applyFont="1" applyFill="1" applyBorder="1" applyAlignment="1">
      <alignment horizontal="right" vertical="center"/>
    </xf>
    <xf numFmtId="177" fontId="26" fillId="0" borderId="8" xfId="0" applyNumberFormat="1" applyFont="1" applyFill="1" applyBorder="1" applyAlignment="1">
      <alignment horizontal="right" vertical="center"/>
    </xf>
    <xf numFmtId="49" fontId="36" fillId="0" borderId="15" xfId="0" applyNumberFormat="1" applyFont="1" applyFill="1" applyBorder="1" applyAlignment="1">
      <alignment horizontal="left" vertical="center"/>
    </xf>
    <xf numFmtId="49" fontId="36" fillId="0" borderId="10" xfId="0" applyNumberFormat="1" applyFont="1" applyFill="1" applyBorder="1" applyAlignment="1">
      <alignment horizontal="left" vertical="center"/>
    </xf>
    <xf numFmtId="0" fontId="26" fillId="0" borderId="1" xfId="0" applyNumberFormat="1" applyFont="1" applyFill="1" applyBorder="1" applyAlignment="1">
      <alignment horizontal="right" vertical="center"/>
    </xf>
    <xf numFmtId="49" fontId="27" fillId="0" borderId="13" xfId="0" applyNumberFormat="1" applyFont="1" applyFill="1" applyBorder="1" applyAlignment="1">
      <alignment horizontal="left" vertical="center"/>
    </xf>
    <xf numFmtId="49" fontId="27" fillId="0" borderId="1" xfId="0" applyNumberFormat="1" applyFont="1" applyFill="1" applyBorder="1" applyAlignment="1">
      <alignment horizontal="left" vertical="center"/>
    </xf>
    <xf numFmtId="177" fontId="25" fillId="0" borderId="1" xfId="0" applyNumberFormat="1" applyFont="1" applyFill="1" applyBorder="1" applyAlignment="1">
      <alignment horizontal="right" vertical="center"/>
    </xf>
    <xf numFmtId="177" fontId="27" fillId="0" borderId="1" xfId="0" applyNumberFormat="1" applyFont="1" applyFill="1" applyBorder="1" applyAlignment="1">
      <alignment horizontal="right" vertical="center"/>
    </xf>
    <xf numFmtId="177" fontId="27" fillId="0" borderId="8" xfId="0" applyNumberFormat="1" applyFont="1" applyFill="1" applyBorder="1" applyAlignment="1">
      <alignment horizontal="right" vertical="center"/>
    </xf>
    <xf numFmtId="177" fontId="36" fillId="0" borderId="1" xfId="0" applyNumberFormat="1" applyFont="1" applyFill="1" applyBorder="1" applyAlignment="1">
      <alignment horizontal="right" vertical="center"/>
    </xf>
    <xf numFmtId="177" fontId="37" fillId="0" borderId="1" xfId="0" applyNumberFormat="1" applyFont="1" applyFill="1" applyBorder="1" applyAlignment="1">
      <alignment horizontal="center" vertical="center" wrapText="1"/>
    </xf>
    <xf numFmtId="49" fontId="28" fillId="0" borderId="8" xfId="0" applyNumberFormat="1" applyFont="1" applyFill="1" applyBorder="1" applyAlignment="1">
      <alignment horizontal="left" vertical="center"/>
    </xf>
    <xf numFmtId="49" fontId="28" fillId="0" borderId="10" xfId="0" applyNumberFormat="1" applyFont="1" applyFill="1" applyBorder="1" applyAlignment="1">
      <alignment horizontal="left" vertical="center"/>
    </xf>
    <xf numFmtId="49" fontId="38" fillId="0" borderId="15" xfId="0" applyNumberFormat="1" applyFont="1" applyFill="1" applyBorder="1" applyAlignment="1">
      <alignment horizontal="left" vertical="center"/>
    </xf>
    <xf numFmtId="49" fontId="38" fillId="0" borderId="10" xfId="0" applyNumberFormat="1" applyFont="1" applyFill="1" applyBorder="1" applyAlignment="1">
      <alignment horizontal="left" vertical="center"/>
    </xf>
    <xf numFmtId="49" fontId="28" fillId="0" borderId="13" xfId="0" applyNumberFormat="1" applyFont="1" applyFill="1" applyBorder="1" applyAlignment="1">
      <alignment horizontal="left" vertical="center"/>
    </xf>
    <xf numFmtId="49" fontId="28" fillId="0" borderId="1" xfId="0" applyNumberFormat="1" applyFont="1" applyFill="1" applyBorder="1" applyAlignment="1">
      <alignment horizontal="left" vertical="center"/>
    </xf>
    <xf numFmtId="177" fontId="28" fillId="0" borderId="1" xfId="0" applyNumberFormat="1" applyFont="1" applyFill="1" applyBorder="1" applyAlignment="1">
      <alignment horizontal="right" vertical="center"/>
    </xf>
    <xf numFmtId="177" fontId="28" fillId="0" borderId="8" xfId="0" applyNumberFormat="1" applyFont="1" applyFill="1" applyBorder="1" applyAlignment="1">
      <alignment horizontal="right" vertical="center"/>
    </xf>
    <xf numFmtId="177" fontId="38" fillId="0" borderId="1" xfId="0" applyNumberFormat="1" applyFont="1" applyFill="1" applyBorder="1" applyAlignment="1">
      <alignment horizontal="right" vertical="center"/>
    </xf>
    <xf numFmtId="177" fontId="39" fillId="0" borderId="1" xfId="0" applyNumberFormat="1" applyFont="1" applyFill="1" applyBorder="1" applyAlignment="1">
      <alignment horizontal="center" vertical="center" wrapText="1"/>
    </xf>
    <xf numFmtId="49" fontId="29" fillId="0" borderId="8" xfId="0" applyNumberFormat="1" applyFont="1" applyFill="1" applyBorder="1" applyAlignment="1">
      <alignment horizontal="left" vertical="center"/>
    </xf>
    <xf numFmtId="49" fontId="29" fillId="0" borderId="10" xfId="0" applyNumberFormat="1" applyFont="1" applyFill="1" applyBorder="1" applyAlignment="1">
      <alignment horizontal="left" vertical="center"/>
    </xf>
    <xf numFmtId="49" fontId="40" fillId="0" borderId="15" xfId="0" applyNumberFormat="1" applyFont="1" applyFill="1" applyBorder="1" applyAlignment="1">
      <alignment horizontal="left" vertical="center"/>
    </xf>
    <xf numFmtId="49" fontId="40" fillId="0" borderId="10" xfId="0" applyNumberFormat="1" applyFont="1" applyFill="1" applyBorder="1" applyAlignment="1">
      <alignment horizontal="left" vertical="center"/>
    </xf>
    <xf numFmtId="49" fontId="29" fillId="0" borderId="13" xfId="0" applyNumberFormat="1" applyFont="1" applyFill="1" applyBorder="1" applyAlignment="1">
      <alignment horizontal="left" vertical="center"/>
    </xf>
    <xf numFmtId="49" fontId="29" fillId="0" borderId="1" xfId="0" applyNumberFormat="1" applyFont="1" applyFill="1" applyBorder="1" applyAlignment="1">
      <alignment horizontal="left" vertical="center"/>
    </xf>
    <xf numFmtId="177" fontId="29" fillId="0" borderId="1" xfId="0" applyNumberFormat="1" applyFont="1" applyFill="1" applyBorder="1" applyAlignment="1">
      <alignment horizontal="right" vertical="center"/>
    </xf>
    <xf numFmtId="177" fontId="29" fillId="0" borderId="8" xfId="0" applyNumberFormat="1" applyFont="1" applyFill="1" applyBorder="1" applyAlignment="1">
      <alignment horizontal="right" vertical="center"/>
    </xf>
    <xf numFmtId="177" fontId="40" fillId="0" borderId="1" xfId="0" applyNumberFormat="1" applyFont="1" applyFill="1" applyBorder="1" applyAlignment="1">
      <alignment horizontal="right" vertical="center"/>
    </xf>
    <xf numFmtId="49" fontId="15" fillId="0" borderId="13" xfId="0" applyNumberFormat="1" applyFont="1" applyFill="1" applyBorder="1" applyAlignment="1">
      <alignment horizontal="left" vertical="center"/>
    </xf>
    <xf numFmtId="49" fontId="15" fillId="0" borderId="9" xfId="0" applyNumberFormat="1" applyFont="1" applyFill="1" applyBorder="1" applyAlignment="1">
      <alignment horizontal="left" vertical="center"/>
    </xf>
    <xf numFmtId="177" fontId="15" fillId="0" borderId="1" xfId="0" applyNumberFormat="1" applyFont="1" applyFill="1" applyBorder="1" applyAlignment="1">
      <alignment horizontal="center" vertical="center"/>
    </xf>
    <xf numFmtId="177" fontId="41" fillId="0" borderId="1" xfId="0" applyNumberFormat="1" applyFont="1" applyFill="1" applyBorder="1" applyAlignment="1">
      <alignment horizontal="center" vertical="center" wrapText="1"/>
    </xf>
    <xf numFmtId="177" fontId="15" fillId="0" borderId="8" xfId="0" applyNumberFormat="1" applyFont="1" applyFill="1" applyBorder="1" applyAlignment="1">
      <alignment horizontal="center" vertical="center" wrapText="1"/>
    </xf>
    <xf numFmtId="177" fontId="15" fillId="0" borderId="10" xfId="0" applyNumberFormat="1" applyFont="1" applyFill="1" applyBorder="1" applyAlignment="1">
      <alignment horizontal="center" vertical="center" wrapText="1"/>
    </xf>
    <xf numFmtId="177" fontId="15" fillId="0" borderId="8" xfId="0" applyNumberFormat="1" applyFont="1" applyFill="1" applyBorder="1" applyAlignment="1">
      <alignment horizontal="center" vertical="center"/>
    </xf>
    <xf numFmtId="177" fontId="15" fillId="0" borderId="10" xfId="0" applyNumberFormat="1" applyFont="1" applyFill="1" applyBorder="1" applyAlignment="1">
      <alignment horizontal="center" vertical="center"/>
    </xf>
    <xf numFmtId="49" fontId="15" fillId="0" borderId="14" xfId="0" applyNumberFormat="1" applyFont="1" applyFill="1" applyBorder="1" applyAlignment="1">
      <alignment horizontal="center" vertical="center"/>
    </xf>
    <xf numFmtId="49" fontId="30" fillId="0" borderId="8" xfId="0" applyNumberFormat="1" applyFont="1" applyFill="1" applyBorder="1" applyAlignment="1">
      <alignment horizontal="left" vertical="center"/>
    </xf>
    <xf numFmtId="49" fontId="30" fillId="0" borderId="10" xfId="0" applyNumberFormat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177" fontId="8" fillId="0" borderId="1" xfId="0" applyNumberFormat="1" applyFont="1" applyFill="1" applyBorder="1" applyAlignment="1">
      <alignment horizontal="right" vertical="center"/>
    </xf>
    <xf numFmtId="177" fontId="8" fillId="0" borderId="8" xfId="0" applyNumberFormat="1" applyFont="1" applyFill="1" applyBorder="1" applyAlignment="1">
      <alignment horizontal="right" vertical="center"/>
    </xf>
    <xf numFmtId="49" fontId="42" fillId="0" borderId="15" xfId="0" applyNumberFormat="1" applyFont="1" applyFill="1" applyBorder="1" applyAlignment="1">
      <alignment horizontal="left" vertical="center"/>
    </xf>
    <xf numFmtId="49" fontId="42" fillId="0" borderId="10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right" vertical="center"/>
    </xf>
    <xf numFmtId="49" fontId="30" fillId="0" borderId="13" xfId="0" applyNumberFormat="1" applyFont="1" applyFill="1" applyBorder="1" applyAlignment="1">
      <alignment horizontal="left" vertical="center"/>
    </xf>
    <xf numFmtId="49" fontId="30" fillId="0" borderId="1" xfId="0" applyNumberFormat="1" applyFont="1" applyFill="1" applyBorder="1" applyAlignment="1">
      <alignment horizontal="left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30" fillId="0" borderId="1" xfId="0" applyNumberFormat="1" applyFont="1" applyFill="1" applyBorder="1" applyAlignment="1">
      <alignment horizontal="right" vertical="center"/>
    </xf>
    <xf numFmtId="177" fontId="30" fillId="0" borderId="8" xfId="0" applyNumberFormat="1" applyFont="1" applyFill="1" applyBorder="1" applyAlignment="1">
      <alignment horizontal="right" vertical="center"/>
    </xf>
    <xf numFmtId="177" fontId="42" fillId="0" borderId="1" xfId="0" applyNumberFormat="1" applyFont="1" applyFill="1" applyBorder="1" applyAlignment="1">
      <alignment horizontal="right" vertical="center"/>
    </xf>
    <xf numFmtId="177" fontId="43" fillId="0" borderId="1" xfId="0" applyNumberFormat="1" applyFont="1" applyFill="1" applyBorder="1" applyAlignment="1">
      <alignment horizontal="center" vertical="center" wrapText="1"/>
    </xf>
    <xf numFmtId="49" fontId="31" fillId="0" borderId="8" xfId="0" applyNumberFormat="1" applyFont="1" applyFill="1" applyBorder="1" applyAlignment="1">
      <alignment horizontal="left" vertical="center"/>
    </xf>
    <xf numFmtId="49" fontId="31" fillId="0" borderId="10" xfId="0" applyNumberFormat="1" applyFont="1" applyFill="1" applyBorder="1" applyAlignment="1">
      <alignment horizontal="left" vertical="center"/>
    </xf>
    <xf numFmtId="49" fontId="44" fillId="0" borderId="15" xfId="0" applyNumberFormat="1" applyFont="1" applyFill="1" applyBorder="1" applyAlignment="1">
      <alignment horizontal="left" vertical="center"/>
    </xf>
    <xf numFmtId="49" fontId="44" fillId="0" borderId="10" xfId="0" applyNumberFormat="1" applyFont="1" applyFill="1" applyBorder="1" applyAlignment="1">
      <alignment horizontal="left" vertical="center"/>
    </xf>
    <xf numFmtId="49" fontId="31" fillId="0" borderId="13" xfId="0" applyNumberFormat="1" applyFont="1" applyFill="1" applyBorder="1" applyAlignment="1">
      <alignment horizontal="left" vertical="center"/>
    </xf>
    <xf numFmtId="49" fontId="31" fillId="0" borderId="1" xfId="0" applyNumberFormat="1" applyFont="1" applyFill="1" applyBorder="1" applyAlignment="1">
      <alignment horizontal="left" vertical="center"/>
    </xf>
    <xf numFmtId="177" fontId="31" fillId="0" borderId="1" xfId="0" applyNumberFormat="1" applyFont="1" applyFill="1" applyBorder="1" applyAlignment="1">
      <alignment horizontal="right" vertical="center"/>
    </xf>
    <xf numFmtId="177" fontId="31" fillId="0" borderId="8" xfId="0" applyNumberFormat="1" applyFont="1" applyFill="1" applyBorder="1" applyAlignment="1">
      <alignment horizontal="right" vertical="center"/>
    </xf>
    <xf numFmtId="177" fontId="44" fillId="0" borderId="1" xfId="0" applyNumberFormat="1" applyFont="1" applyFill="1" applyBorder="1" applyAlignment="1">
      <alignment horizontal="right" vertical="center"/>
    </xf>
    <xf numFmtId="177" fontId="45" fillId="0" borderId="1" xfId="0" applyNumberFormat="1" applyFont="1" applyFill="1" applyBorder="1" applyAlignment="1">
      <alignment horizontal="center" vertical="center" wrapText="1"/>
    </xf>
    <xf numFmtId="49" fontId="32" fillId="0" borderId="8" xfId="0" applyNumberFormat="1" applyFont="1" applyFill="1" applyBorder="1" applyAlignment="1">
      <alignment horizontal="left" vertical="center"/>
    </xf>
    <xf numFmtId="49" fontId="32" fillId="0" borderId="10" xfId="0" applyNumberFormat="1" applyFont="1" applyFill="1" applyBorder="1" applyAlignment="1">
      <alignment horizontal="left" vertical="center"/>
    </xf>
    <xf numFmtId="49" fontId="46" fillId="0" borderId="15" xfId="0" applyNumberFormat="1" applyFont="1" applyFill="1" applyBorder="1" applyAlignment="1">
      <alignment horizontal="left" vertical="center"/>
    </xf>
    <xf numFmtId="49" fontId="46" fillId="0" borderId="10" xfId="0" applyNumberFormat="1" applyFont="1" applyFill="1" applyBorder="1" applyAlignment="1">
      <alignment horizontal="left" vertical="center"/>
    </xf>
    <xf numFmtId="49" fontId="32" fillId="0" borderId="13" xfId="0" applyNumberFormat="1" applyFont="1" applyFill="1" applyBorder="1" applyAlignment="1">
      <alignment horizontal="left" vertical="center"/>
    </xf>
    <xf numFmtId="49" fontId="32" fillId="0" borderId="1" xfId="0" applyNumberFormat="1" applyFont="1" applyFill="1" applyBorder="1" applyAlignment="1">
      <alignment horizontal="left" vertical="center"/>
    </xf>
    <xf numFmtId="177" fontId="32" fillId="0" borderId="1" xfId="0" applyNumberFormat="1" applyFont="1" applyFill="1" applyBorder="1" applyAlignment="1">
      <alignment horizontal="right" vertical="center"/>
    </xf>
    <xf numFmtId="177" fontId="32" fillId="0" borderId="8" xfId="0" applyNumberFormat="1" applyFont="1" applyFill="1" applyBorder="1" applyAlignment="1">
      <alignment horizontal="right" vertical="center"/>
    </xf>
    <xf numFmtId="177" fontId="46" fillId="0" borderId="1" xfId="0" applyNumberFormat="1" applyFont="1" applyFill="1" applyBorder="1" applyAlignment="1">
      <alignment horizontal="right" vertical="center"/>
    </xf>
    <xf numFmtId="177" fontId="47" fillId="0" borderId="1" xfId="0" applyNumberFormat="1" applyFont="1" applyFill="1" applyBorder="1" applyAlignment="1">
      <alignment horizontal="center" vertical="center" wrapText="1"/>
    </xf>
    <xf numFmtId="49" fontId="33" fillId="0" borderId="8" xfId="0" applyNumberFormat="1" applyFont="1" applyFill="1" applyBorder="1" applyAlignment="1">
      <alignment horizontal="left" vertical="center"/>
    </xf>
    <xf numFmtId="49" fontId="33" fillId="0" borderId="10" xfId="0" applyNumberFormat="1" applyFont="1" applyFill="1" applyBorder="1" applyAlignment="1">
      <alignment horizontal="left" vertical="center"/>
    </xf>
    <xf numFmtId="49" fontId="48" fillId="0" borderId="15" xfId="0" applyNumberFormat="1" applyFont="1" applyFill="1" applyBorder="1" applyAlignment="1">
      <alignment horizontal="left" vertical="center"/>
    </xf>
    <xf numFmtId="49" fontId="48" fillId="0" borderId="10" xfId="0" applyNumberFormat="1" applyFont="1" applyFill="1" applyBorder="1" applyAlignment="1">
      <alignment horizontal="left" vertical="center"/>
    </xf>
    <xf numFmtId="49" fontId="33" fillId="0" borderId="13" xfId="0" applyNumberFormat="1" applyFont="1" applyFill="1" applyBorder="1" applyAlignment="1">
      <alignment horizontal="left" vertical="center"/>
    </xf>
    <xf numFmtId="49" fontId="33" fillId="0" borderId="1" xfId="0" applyNumberFormat="1" applyFont="1" applyFill="1" applyBorder="1" applyAlignment="1">
      <alignment horizontal="left" vertical="center"/>
    </xf>
    <xf numFmtId="177" fontId="33" fillId="0" borderId="1" xfId="0" applyNumberFormat="1" applyFont="1" applyFill="1" applyBorder="1" applyAlignment="1">
      <alignment horizontal="right" vertical="center"/>
    </xf>
    <xf numFmtId="177" fontId="33" fillId="0" borderId="8" xfId="0" applyNumberFormat="1" applyFont="1" applyFill="1" applyBorder="1" applyAlignment="1">
      <alignment horizontal="right" vertical="center"/>
    </xf>
    <xf numFmtId="177" fontId="4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49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50" fillId="7" borderId="1" xfId="0" applyNumberFormat="1" applyFont="1" applyFill="1" applyBorder="1" applyAlignment="1">
      <alignment horizontal="center" wrapText="1"/>
    </xf>
    <xf numFmtId="49" fontId="5" fillId="0" borderId="1" xfId="0" applyNumberFormat="1" applyFont="1" applyFill="1" applyBorder="1" applyAlignment="1">
      <alignment horizontal="center"/>
    </xf>
    <xf numFmtId="49" fontId="5" fillId="8" borderId="1" xfId="0" applyNumberFormat="1" applyFont="1" applyFill="1" applyBorder="1" applyAlignment="1">
      <alignment horizontal="right"/>
    </xf>
    <xf numFmtId="0" fontId="51" fillId="0" borderId="1" xfId="0" applyNumberFormat="1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78" fontId="9" fillId="0" borderId="8" xfId="0" applyNumberFormat="1" applyFont="1" applyFill="1" applyBorder="1" applyAlignment="1">
      <alignment horizontal="center" vertical="center"/>
    </xf>
    <xf numFmtId="178" fontId="9" fillId="0" borderId="19" xfId="0" applyNumberFormat="1" applyFont="1" applyFill="1" applyBorder="1" applyAlignment="1">
      <alignment horizontal="center" vertical="center"/>
    </xf>
    <xf numFmtId="178" fontId="9" fillId="0" borderId="2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2" fillId="0" borderId="11" xfId="0" applyNumberFormat="1" applyFont="1" applyFill="1" applyBorder="1" applyAlignment="1">
      <alignment horizontal="center" vertical="center"/>
    </xf>
    <xf numFmtId="0" fontId="52" fillId="0" borderId="0" xfId="0" applyNumberFormat="1" applyFont="1" applyFill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0" fontId="53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178" fontId="8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4" fillId="0" borderId="0" xfId="0" applyNumberFormat="1" applyFont="1" applyFill="1" applyBorder="1" applyAlignment="1">
      <alignment horizontal="center" vertical="center"/>
    </xf>
    <xf numFmtId="0" fontId="55" fillId="10" borderId="1" xfId="0" applyNumberFormat="1" applyFont="1" applyFill="1" applyBorder="1" applyAlignment="1">
      <alignment horizontal="center" vertical="center" wrapText="1"/>
    </xf>
    <xf numFmtId="49" fontId="56" fillId="0" borderId="21" xfId="0" applyNumberFormat="1" applyFont="1" applyFill="1" applyBorder="1" applyAlignment="1">
      <alignment horizontal="center" vertical="center"/>
    </xf>
    <xf numFmtId="49" fontId="56" fillId="0" borderId="22" xfId="0" applyNumberFormat="1" applyFont="1" applyFill="1" applyBorder="1" applyAlignment="1">
      <alignment horizontal="center" vertical="center"/>
    </xf>
    <xf numFmtId="0" fontId="55" fillId="10" borderId="2" xfId="0" applyNumberFormat="1" applyFont="1" applyFill="1" applyBorder="1" applyAlignment="1">
      <alignment horizontal="center" vertical="center" wrapText="1"/>
    </xf>
    <xf numFmtId="49" fontId="56" fillId="0" borderId="23" xfId="0" applyNumberFormat="1" applyFont="1" applyFill="1" applyBorder="1" applyAlignment="1">
      <alignment horizontal="center" vertical="center"/>
    </xf>
    <xf numFmtId="0" fontId="56" fillId="0" borderId="0" xfId="0" applyNumberFormat="1" applyFont="1" applyFill="1" applyBorder="1" applyAlignment="1">
      <alignment horizontal="right"/>
    </xf>
    <xf numFmtId="0" fontId="55" fillId="10" borderId="24" xfId="0" applyFont="1" applyFill="1" applyBorder="1" applyAlignment="1">
      <alignment horizontal="center" vertical="center" wrapText="1"/>
    </xf>
    <xf numFmtId="0" fontId="55" fillId="10" borderId="25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21" fillId="0" borderId="0" xfId="0" applyFont="1" applyFill="1" applyBorder="1" applyAlignment="1">
      <alignment vertical="center"/>
    </xf>
    <xf numFmtId="0" fontId="57" fillId="8" borderId="26" xfId="0" applyFont="1" applyFill="1" applyBorder="1" applyAlignment="1">
      <alignment horizontal="center" vertical="center"/>
    </xf>
    <xf numFmtId="0" fontId="57" fillId="8" borderId="27" xfId="0" applyFont="1" applyFill="1" applyBorder="1" applyAlignment="1">
      <alignment horizontal="center" vertical="center"/>
    </xf>
    <xf numFmtId="0" fontId="57" fillId="8" borderId="28" xfId="0" applyFont="1" applyFill="1" applyBorder="1" applyAlignment="1">
      <alignment horizontal="center" vertical="center"/>
    </xf>
    <xf numFmtId="0" fontId="57" fillId="8" borderId="29" xfId="0" applyFont="1" applyFill="1" applyBorder="1" applyAlignment="1">
      <alignment horizontal="center" vertical="center"/>
    </xf>
    <xf numFmtId="0" fontId="57" fillId="8" borderId="0" xfId="0" applyFont="1" applyFill="1" applyBorder="1" applyAlignment="1">
      <alignment horizontal="center" vertical="center"/>
    </xf>
    <xf numFmtId="0" fontId="57" fillId="8" borderId="30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vertical="center"/>
    </xf>
    <xf numFmtId="0" fontId="58" fillId="8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vertical="center"/>
    </xf>
    <xf numFmtId="0" fontId="21" fillId="0" borderId="2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3" fillId="8" borderId="0" xfId="6" applyFont="1" applyFill="1" applyBorder="1" applyAlignment="1" applyProtection="1">
      <alignment horizontal="left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left" vertical="center"/>
    </xf>
    <xf numFmtId="0" fontId="59" fillId="0" borderId="2" xfId="0" applyFont="1" applyFill="1" applyBorder="1" applyAlignment="1">
      <alignment vertical="center" wrapText="1"/>
    </xf>
    <xf numFmtId="0" fontId="59" fillId="0" borderId="2" xfId="0" applyFont="1" applyFill="1" applyBorder="1" applyAlignment="1">
      <alignment horizontal="center" vertical="center" wrapText="1"/>
    </xf>
    <xf numFmtId="0" fontId="59" fillId="0" borderId="23" xfId="0" applyFont="1" applyFill="1" applyBorder="1" applyAlignment="1">
      <alignment vertical="center" wrapText="1"/>
    </xf>
    <xf numFmtId="0" fontId="8" fillId="0" borderId="32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59" fillId="0" borderId="32" xfId="0" applyFont="1" applyFill="1" applyBorder="1" applyAlignment="1">
      <alignment horizontal="center" vertical="center" wrapText="1"/>
    </xf>
    <xf numFmtId="0" fontId="59" fillId="0" borderId="34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60" fillId="0" borderId="2" xfId="0" applyFont="1" applyFill="1" applyBorder="1" applyAlignment="1">
      <alignment vertical="center" wrapText="1"/>
    </xf>
    <xf numFmtId="0" fontId="59" fillId="0" borderId="32" xfId="0" applyFont="1" applyFill="1" applyBorder="1" applyAlignment="1">
      <alignment vertical="center" wrapText="1"/>
    </xf>
    <xf numFmtId="0" fontId="59" fillId="0" borderId="33" xfId="0" applyFont="1" applyFill="1" applyBorder="1" applyAlignment="1">
      <alignment vertical="center" wrapText="1"/>
    </xf>
    <xf numFmtId="0" fontId="59" fillId="0" borderId="34" xfId="0" applyFont="1" applyFill="1" applyBorder="1" applyAlignment="1">
      <alignment vertical="center" wrapText="1"/>
    </xf>
    <xf numFmtId="0" fontId="6" fillId="8" borderId="35" xfId="0" applyFont="1" applyFill="1" applyBorder="1" applyAlignment="1">
      <alignment horizontal="left" vertical="center"/>
    </xf>
    <xf numFmtId="0" fontId="8" fillId="0" borderId="36" xfId="0" applyFont="1" applyFill="1" applyBorder="1" applyAlignment="1">
      <alignment horizontal="center" vertical="center"/>
    </xf>
    <xf numFmtId="0" fontId="59" fillId="0" borderId="37" xfId="0" applyFont="1" applyFill="1" applyBorder="1" applyAlignment="1">
      <alignment vertical="center" wrapText="1"/>
    </xf>
    <xf numFmtId="0" fontId="59" fillId="0" borderId="37" xfId="0" applyFont="1" applyFill="1" applyBorder="1" applyAlignment="1">
      <alignment horizontal="center" vertical="center" wrapText="1"/>
    </xf>
    <xf numFmtId="0" fontId="59" fillId="0" borderId="22" xfId="0" applyFont="1" applyFill="1" applyBorder="1" applyAlignment="1">
      <alignment vertical="center" wrapText="1"/>
    </xf>
    <xf numFmtId="0" fontId="21" fillId="0" borderId="38" xfId="0" applyFont="1" applyFill="1" applyBorder="1" applyAlignment="1">
      <alignment horizontal="center" vertical="center"/>
    </xf>
    <xf numFmtId="0" fontId="21" fillId="0" borderId="37" xfId="0" applyFont="1" applyFill="1" applyBorder="1" applyAlignment="1">
      <alignment vertical="center"/>
    </xf>
    <xf numFmtId="0" fontId="21" fillId="0" borderId="39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vertical="center"/>
    </xf>
    <xf numFmtId="0" fontId="62" fillId="0" borderId="0" xfId="0" applyFont="1" applyFill="1" applyAlignment="1">
      <alignment horizontal="center" vertical="center"/>
    </xf>
    <xf numFmtId="0" fontId="62" fillId="0" borderId="0" xfId="0" applyFont="1" applyFill="1" applyAlignment="1">
      <alignment wrapText="1"/>
    </xf>
    <xf numFmtId="0" fontId="62" fillId="0" borderId="0" xfId="0" applyFont="1" applyFill="1" applyAlignment="1"/>
    <xf numFmtId="0" fontId="62" fillId="0" borderId="0" xfId="0" applyFont="1" applyFill="1" applyAlignment="1">
      <alignment horizontal="center" vertical="center" wrapText="1"/>
    </xf>
    <xf numFmtId="0" fontId="62" fillId="0" borderId="0" xfId="0" applyFont="1" applyFill="1" applyAlignment="1">
      <alignment horizontal="center"/>
    </xf>
    <xf numFmtId="178" fontId="62" fillId="0" borderId="0" xfId="0" applyNumberFormat="1" applyFont="1" applyFill="1" applyAlignment="1">
      <alignment horizontal="center" vertical="center"/>
    </xf>
    <xf numFmtId="0" fontId="62" fillId="0" borderId="0" xfId="0" applyFont="1" applyFill="1" applyAlignment="1">
      <alignment horizontal="left" vertical="center" wrapText="1"/>
    </xf>
    <xf numFmtId="0" fontId="61" fillId="11" borderId="1" xfId="0" applyFont="1" applyFill="1" applyBorder="1" applyAlignment="1">
      <alignment horizontal="center" vertical="center" wrapText="1"/>
    </xf>
    <xf numFmtId="0" fontId="61" fillId="12" borderId="1" xfId="0" applyFont="1" applyFill="1" applyBorder="1" applyAlignment="1">
      <alignment horizontal="center" vertical="center" wrapText="1"/>
    </xf>
    <xf numFmtId="0" fontId="61" fillId="13" borderId="1" xfId="0" applyFont="1" applyFill="1" applyBorder="1" applyAlignment="1">
      <alignment horizontal="center" vertical="center" wrapText="1"/>
    </xf>
    <xf numFmtId="178" fontId="61" fillId="13" borderId="1" xfId="0" applyNumberFormat="1" applyFont="1" applyFill="1" applyBorder="1" applyAlignment="1">
      <alignment horizontal="center" vertical="center" wrapText="1"/>
    </xf>
    <xf numFmtId="0" fontId="63" fillId="1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top" wrapText="1"/>
    </xf>
    <xf numFmtId="0" fontId="21" fillId="15" borderId="1" xfId="0" applyFont="1" applyFill="1" applyBorder="1" applyAlignment="1">
      <alignment vertical="top" wrapText="1"/>
    </xf>
    <xf numFmtId="0" fontId="62" fillId="0" borderId="1" xfId="0" applyFont="1" applyFill="1" applyBorder="1" applyAlignment="1">
      <alignment horizontal="center" vertical="center" wrapText="1"/>
    </xf>
    <xf numFmtId="178" fontId="62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 wrapText="1"/>
    </xf>
    <xf numFmtId="0" fontId="64" fillId="0" borderId="0" xfId="0" applyFont="1" applyFill="1" applyAlignment="1">
      <alignment horizontal="center" vertical="center"/>
    </xf>
    <xf numFmtId="0" fontId="21" fillId="16" borderId="1" xfId="0" applyFont="1" applyFill="1" applyBorder="1" applyAlignment="1">
      <alignment vertical="top" wrapText="1"/>
    </xf>
    <xf numFmtId="178" fontId="62" fillId="7" borderId="1" xfId="0" applyNumberFormat="1" applyFont="1" applyFill="1" applyBorder="1" applyAlignment="1">
      <alignment horizontal="center" vertical="center" wrapText="1"/>
    </xf>
    <xf numFmtId="0" fontId="65" fillId="0" borderId="0" xfId="0" applyFont="1">
      <alignment vertical="center"/>
    </xf>
    <xf numFmtId="0" fontId="62" fillId="0" borderId="0" xfId="0" applyFont="1" applyFill="1" applyAlignment="1">
      <alignment horizontal="left" wrapText="1"/>
    </xf>
    <xf numFmtId="0" fontId="21" fillId="0" borderId="1" xfId="0" applyFont="1" applyFill="1" applyBorder="1" applyAlignment="1">
      <alignment horizontal="left" vertical="top" wrapText="1"/>
    </xf>
    <xf numFmtId="178" fontId="21" fillId="0" borderId="1" xfId="0" applyNumberFormat="1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/>
    </xf>
    <xf numFmtId="0" fontId="65" fillId="0" borderId="0" xfId="0" applyFont="1" applyFill="1">
      <alignment vertical="center"/>
    </xf>
    <xf numFmtId="0" fontId="62" fillId="0" borderId="0" xfId="0" applyFont="1" applyFill="1" applyAlignment="1">
      <alignment horizontal="center" wrapText="1"/>
    </xf>
    <xf numFmtId="0" fontId="62" fillId="0" borderId="0" xfId="0" applyFont="1" applyFill="1" applyAlignment="1">
      <alignment horizontal="left" vertical="top" wrapText="1"/>
    </xf>
    <xf numFmtId="0" fontId="62" fillId="0" borderId="0" xfId="0" applyFont="1" applyAlignment="1"/>
    <xf numFmtId="0" fontId="21" fillId="15" borderId="1" xfId="0" applyFont="1" applyFill="1" applyBorder="1" applyAlignment="1">
      <alignment horizontal="left" vertical="top" wrapText="1"/>
    </xf>
    <xf numFmtId="0" fontId="21" fillId="17" borderId="1" xfId="0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/>
    <xf numFmtId="0" fontId="6" fillId="0" borderId="0" xfId="0" applyFont="1" applyFill="1" applyAlignment="1">
      <alignment horizontal="center" vertical="center"/>
    </xf>
    <xf numFmtId="0" fontId="66" fillId="0" borderId="0" xfId="0" applyFont="1" applyFill="1" applyAlignment="1"/>
    <xf numFmtId="0" fontId="67" fillId="18" borderId="1" xfId="0" applyFont="1" applyFill="1" applyBorder="1" applyAlignment="1">
      <alignment horizontal="center" vertical="center" wrapText="1"/>
    </xf>
    <xf numFmtId="49" fontId="61" fillId="13" borderId="1" xfId="0" applyNumberFormat="1" applyFont="1" applyFill="1" applyBorder="1" applyAlignment="1">
      <alignment horizontal="center" vertical="center" wrapText="1"/>
    </xf>
    <xf numFmtId="0" fontId="67" fillId="19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left" vertical="top" wrapText="1"/>
    </xf>
    <xf numFmtId="0" fontId="6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8" fillId="0" borderId="0" xfId="0" applyFont="1" applyFill="1" applyAlignment="1">
      <alignment vertical="center"/>
    </xf>
    <xf numFmtId="0" fontId="68" fillId="0" borderId="0" xfId="0" applyFont="1" applyFill="1" applyAlignment="1"/>
    <xf numFmtId="49" fontId="68" fillId="0" borderId="0" xfId="0" applyNumberFormat="1" applyFont="1" applyFill="1" applyAlignment="1"/>
    <xf numFmtId="0" fontId="68" fillId="0" borderId="0" xfId="0" applyFont="1" applyFill="1" applyAlignment="1">
      <alignment wrapText="1"/>
    </xf>
    <xf numFmtId="0" fontId="69" fillId="0" borderId="0" xfId="0" applyFont="1" applyFill="1" applyAlignment="1">
      <alignment horizontal="center" vertical="center"/>
    </xf>
    <xf numFmtId="0" fontId="70" fillId="0" borderId="0" xfId="0" applyFont="1" applyFill="1" applyAlignment="1"/>
    <xf numFmtId="0" fontId="71" fillId="18" borderId="1" xfId="0" applyFont="1" applyFill="1" applyBorder="1" applyAlignment="1">
      <alignment horizontal="center" vertical="center" wrapText="1"/>
    </xf>
    <xf numFmtId="0" fontId="72" fillId="12" borderId="1" xfId="0" applyFont="1" applyFill="1" applyBorder="1" applyAlignment="1">
      <alignment horizontal="center" vertical="center" wrapText="1"/>
    </xf>
    <xf numFmtId="0" fontId="72" fillId="13" borderId="1" xfId="0" applyFont="1" applyFill="1" applyBorder="1" applyAlignment="1">
      <alignment horizontal="center" vertical="center" wrapText="1"/>
    </xf>
    <xf numFmtId="49" fontId="72" fillId="13" borderId="1" xfId="0" applyNumberFormat="1" applyFont="1" applyFill="1" applyBorder="1" applyAlignment="1">
      <alignment horizontal="center" vertical="center" wrapText="1"/>
    </xf>
    <xf numFmtId="178" fontId="72" fillId="13" borderId="1" xfId="0" applyNumberFormat="1" applyFont="1" applyFill="1" applyBorder="1" applyAlignment="1">
      <alignment horizontal="center" vertical="center" wrapText="1"/>
    </xf>
    <xf numFmtId="0" fontId="71" fillId="19" borderId="1" xfId="0" applyFont="1" applyFill="1" applyBorder="1" applyAlignment="1">
      <alignment horizontal="center" vertical="center"/>
    </xf>
    <xf numFmtId="49" fontId="69" fillId="0" borderId="1" xfId="0" applyNumberFormat="1" applyFont="1" applyFill="1" applyBorder="1" applyAlignment="1">
      <alignment horizontal="center" vertical="center" wrapText="1"/>
    </xf>
    <xf numFmtId="0" fontId="73" fillId="0" borderId="1" xfId="0" applyFont="1" applyFill="1" applyBorder="1" applyAlignment="1">
      <alignment horizontal="center" vertical="top" wrapText="1"/>
    </xf>
    <xf numFmtId="0" fontId="73" fillId="0" borderId="1" xfId="0" applyFont="1" applyFill="1" applyBorder="1" applyAlignment="1">
      <alignment horizontal="left" vertical="top" wrapText="1"/>
    </xf>
    <xf numFmtId="0" fontId="73" fillId="15" borderId="1" xfId="0" applyFont="1" applyFill="1" applyBorder="1" applyAlignment="1">
      <alignment horizontal="left" vertical="top" wrapText="1"/>
    </xf>
    <xf numFmtId="0" fontId="69" fillId="0" borderId="1" xfId="0" applyFont="1" applyFill="1" applyBorder="1" applyAlignment="1">
      <alignment horizontal="center" vertical="center" wrapText="1"/>
    </xf>
    <xf numFmtId="0" fontId="69" fillId="0" borderId="1" xfId="0" applyNumberFormat="1" applyFont="1" applyFill="1" applyBorder="1" applyAlignment="1">
      <alignment horizontal="center" vertical="center" wrapText="1"/>
    </xf>
    <xf numFmtId="177" fontId="69" fillId="0" borderId="1" xfId="0" applyNumberFormat="1" applyFont="1" applyFill="1" applyBorder="1" applyAlignment="1">
      <alignment horizontal="center" vertical="center" wrapText="1"/>
    </xf>
    <xf numFmtId="0" fontId="73" fillId="0" borderId="1" xfId="0" applyFont="1" applyFill="1" applyBorder="1" applyAlignment="1">
      <alignment horizontal="left" vertical="center" wrapText="1"/>
    </xf>
    <xf numFmtId="0" fontId="73" fillId="15" borderId="1" xfId="0" applyFont="1" applyFill="1" applyBorder="1" applyAlignment="1">
      <alignment horizontal="center" vertical="top" wrapText="1"/>
    </xf>
    <xf numFmtId="0" fontId="69" fillId="20" borderId="1" xfId="0" applyFont="1" applyFill="1" applyBorder="1" applyAlignment="1">
      <alignment horizontal="center" vertical="center" wrapText="1"/>
    </xf>
    <xf numFmtId="0" fontId="73" fillId="16" borderId="1" xfId="0" applyFont="1" applyFill="1" applyBorder="1" applyAlignment="1">
      <alignment horizontal="left" vertical="top" wrapText="1"/>
    </xf>
    <xf numFmtId="0" fontId="69" fillId="3" borderId="1" xfId="0" applyFont="1" applyFill="1" applyBorder="1" applyAlignment="1">
      <alignment horizontal="center" vertical="center" wrapText="1"/>
    </xf>
    <xf numFmtId="0" fontId="69" fillId="21" borderId="1" xfId="0" applyFont="1" applyFill="1" applyBorder="1" applyAlignment="1">
      <alignment horizontal="center" vertical="center" wrapText="1"/>
    </xf>
    <xf numFmtId="178" fontId="73" fillId="7" borderId="1" xfId="0" applyNumberFormat="1" applyFont="1" applyFill="1" applyBorder="1" applyAlignment="1">
      <alignment horizontal="center" vertical="center"/>
    </xf>
    <xf numFmtId="0" fontId="69" fillId="22" borderId="1" xfId="0" applyFont="1" applyFill="1" applyBorder="1" applyAlignment="1">
      <alignment horizontal="center" vertical="center" wrapText="1"/>
    </xf>
    <xf numFmtId="0" fontId="63" fillId="0" borderId="0" xfId="0" applyFont="1" applyFill="1" applyAlignment="1">
      <alignment horizontal="center" vertical="center"/>
    </xf>
    <xf numFmtId="0" fontId="65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177" fontId="65" fillId="0" borderId="0" xfId="0" applyNumberFormat="1" applyFont="1" applyFill="1" applyAlignment="1">
      <alignment horizontal="center" vertical="center"/>
    </xf>
    <xf numFmtId="0" fontId="63" fillId="23" borderId="1" xfId="0" applyFont="1" applyFill="1" applyBorder="1" applyAlignment="1">
      <alignment horizontal="center" vertical="center"/>
    </xf>
    <xf numFmtId="0" fontId="61" fillId="23" borderId="1" xfId="0" applyFont="1" applyFill="1" applyBorder="1" applyAlignment="1">
      <alignment horizontal="center" vertical="center" wrapText="1"/>
    </xf>
    <xf numFmtId="179" fontId="63" fillId="23" borderId="1" xfId="0" applyNumberFormat="1" applyFont="1" applyFill="1" applyBorder="1" applyAlignment="1">
      <alignment horizontal="center" vertical="center"/>
    </xf>
    <xf numFmtId="180" fontId="63" fillId="23" borderId="1" xfId="0" applyNumberFormat="1" applyFont="1" applyFill="1" applyBorder="1" applyAlignment="1">
      <alignment horizontal="center" vertical="center"/>
    </xf>
    <xf numFmtId="178" fontId="63" fillId="23" borderId="1" xfId="0" applyNumberFormat="1" applyFont="1" applyFill="1" applyBorder="1" applyAlignment="1">
      <alignment horizontal="center" vertical="center" wrapText="1"/>
    </xf>
    <xf numFmtId="178" fontId="61" fillId="23" borderId="1" xfId="0" applyNumberFormat="1" applyFont="1" applyFill="1" applyBorder="1" applyAlignment="1">
      <alignment horizontal="center" vertical="center" wrapText="1"/>
    </xf>
    <xf numFmtId="0" fontId="63" fillId="23" borderId="1" xfId="0" applyFont="1" applyFill="1" applyBorder="1" applyAlignment="1">
      <alignment horizontal="center" vertical="center" wrapText="1"/>
    </xf>
    <xf numFmtId="178" fontId="61" fillId="24" borderId="1" xfId="0" applyNumberFormat="1" applyFont="1" applyFill="1" applyBorder="1" applyAlignment="1">
      <alignment horizontal="center" vertical="center" wrapText="1"/>
    </xf>
    <xf numFmtId="178" fontId="61" fillId="23" borderId="16" xfId="0" applyNumberFormat="1" applyFont="1" applyFill="1" applyBorder="1" applyAlignment="1">
      <alignment horizontal="center" vertical="center"/>
    </xf>
    <xf numFmtId="177" fontId="63" fillId="23" borderId="16" xfId="0" applyNumberFormat="1" applyFont="1" applyFill="1" applyBorder="1" applyAlignment="1">
      <alignment horizontal="center" vertical="center" wrapText="1"/>
    </xf>
    <xf numFmtId="0" fontId="63" fillId="23" borderId="16" xfId="0" applyFont="1" applyFill="1" applyBorder="1" applyAlignment="1">
      <alignment horizontal="center" vertical="center" wrapText="1"/>
    </xf>
    <xf numFmtId="0" fontId="63" fillId="23" borderId="8" xfId="0" applyFont="1" applyFill="1" applyBorder="1" applyAlignment="1">
      <alignment horizontal="center" vertical="center"/>
    </xf>
    <xf numFmtId="0" fontId="63" fillId="23" borderId="9" xfId="0" applyFont="1" applyFill="1" applyBorder="1" applyAlignment="1">
      <alignment horizontal="center" vertical="center"/>
    </xf>
    <xf numFmtId="0" fontId="63" fillId="23" borderId="10" xfId="0" applyFont="1" applyFill="1" applyBorder="1" applyAlignment="1">
      <alignment horizontal="center" vertical="center"/>
    </xf>
    <xf numFmtId="178" fontId="61" fillId="23" borderId="14" xfId="0" applyNumberFormat="1" applyFont="1" applyFill="1" applyBorder="1" applyAlignment="1">
      <alignment horizontal="center" vertical="center"/>
    </xf>
    <xf numFmtId="177" fontId="63" fillId="23" borderId="14" xfId="0" applyNumberFormat="1" applyFont="1" applyFill="1" applyBorder="1" applyAlignment="1">
      <alignment horizontal="center" vertical="center" wrapText="1"/>
    </xf>
    <xf numFmtId="0" fontId="63" fillId="23" borderId="14" xfId="0" applyFont="1" applyFill="1" applyBorder="1" applyAlignment="1">
      <alignment horizontal="center" vertical="center" wrapText="1"/>
    </xf>
    <xf numFmtId="0" fontId="65" fillId="0" borderId="1" xfId="0" applyFont="1" applyFill="1" applyBorder="1" applyAlignment="1">
      <alignment horizontal="center" vertical="center"/>
    </xf>
    <xf numFmtId="180" fontId="65" fillId="0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22" borderId="1" xfId="0" applyFont="1" applyFill="1" applyBorder="1" applyAlignment="1">
      <alignment horizontal="center" vertical="center"/>
    </xf>
    <xf numFmtId="181" fontId="21" fillId="0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81" fontId="21" fillId="25" borderId="1" xfId="0" applyNumberFormat="1" applyFont="1" applyFill="1" applyBorder="1" applyAlignment="1">
      <alignment horizontal="center" vertical="center" wrapText="1"/>
    </xf>
    <xf numFmtId="181" fontId="62" fillId="0" borderId="1" xfId="0" applyNumberFormat="1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 wrapText="1"/>
    </xf>
    <xf numFmtId="0" fontId="74" fillId="26" borderId="1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 vertical="center" wrapText="1"/>
    </xf>
    <xf numFmtId="0" fontId="62" fillId="0" borderId="1" xfId="0" applyFont="1" applyFill="1" applyBorder="1" applyAlignment="1">
      <alignment horizontal="left" vertical="center" wrapText="1"/>
    </xf>
    <xf numFmtId="0" fontId="74" fillId="26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5" fillId="27" borderId="0" xfId="0" applyFont="1" applyFill="1" applyBorder="1" applyAlignment="1">
      <alignment horizontal="center" vertical="center"/>
    </xf>
    <xf numFmtId="0" fontId="21" fillId="27" borderId="0" xfId="0" applyFont="1" applyFill="1" applyAlignment="1">
      <alignment horizontal="center" vertical="center"/>
    </xf>
    <xf numFmtId="0" fontId="65" fillId="27" borderId="0" xfId="0" applyFont="1" applyFill="1" applyAlignment="1">
      <alignment horizontal="center" vertical="center"/>
    </xf>
    <xf numFmtId="177" fontId="65" fillId="27" borderId="0" xfId="0" applyNumberFormat="1" applyFont="1" applyFill="1" applyAlignment="1">
      <alignment horizontal="center" vertical="center"/>
    </xf>
    <xf numFmtId="0" fontId="62" fillId="27" borderId="0" xfId="0" applyFont="1" applyFill="1" applyAlignment="1">
      <alignment horizontal="center" vertical="center" wrapText="1"/>
    </xf>
    <xf numFmtId="0" fontId="62" fillId="27" borderId="0" xfId="0" applyFont="1" applyFill="1" applyAlignment="1">
      <alignment horizontal="left" vertical="center" wrapText="1"/>
    </xf>
    <xf numFmtId="0" fontId="65" fillId="0" borderId="0" xfId="0" applyFont="1" applyFill="1" applyBorder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0" fontId="65" fillId="0" borderId="0" xfId="0" applyFont="1" applyFill="1" applyAlignment="1">
      <alignment horizontal="center" vertical="center" wrapText="1"/>
    </xf>
    <xf numFmtId="0" fontId="65" fillId="0" borderId="0" xfId="0" applyFont="1" applyFill="1" applyAlignment="1">
      <alignment horizontal="left" vertical="center" wrapText="1"/>
    </xf>
    <xf numFmtId="0" fontId="65" fillId="0" borderId="0" xfId="0" applyFont="1" applyFill="1" applyAlignment="1">
      <alignment vertical="center"/>
    </xf>
    <xf numFmtId="0" fontId="63" fillId="23" borderId="16" xfId="0" applyFont="1" applyFill="1" applyBorder="1" applyAlignment="1">
      <alignment horizontal="center" vertical="center"/>
    </xf>
    <xf numFmtId="0" fontId="63" fillId="23" borderId="14" xfId="0" applyFont="1" applyFill="1" applyBorder="1" applyAlignment="1">
      <alignment horizontal="center" vertical="center"/>
    </xf>
    <xf numFmtId="0" fontId="21" fillId="22" borderId="0" xfId="0" applyFont="1" applyFill="1" applyAlignment="1">
      <alignment horizontal="center" vertical="center"/>
    </xf>
    <xf numFmtId="0" fontId="65" fillId="0" borderId="1" xfId="0" applyFont="1" applyFill="1" applyBorder="1" applyAlignment="1" quotePrefix="1">
      <alignment horizontal="center" vertical="center"/>
    </xf>
    <xf numFmtId="0" fontId="65" fillId="0" borderId="0" xfId="0" applyFont="1" applyFill="1" applyAlignment="1" quotePrefix="1">
      <alignment horizontal="center" vertical="center"/>
    </xf>
    <xf numFmtId="0" fontId="9" fillId="0" borderId="1" xfId="0" applyFont="1" applyFill="1" applyBorder="1" applyAlignment="1" quotePrefix="1">
      <alignment horizontal="center" vertical="center"/>
    </xf>
    <xf numFmtId="0" fontId="17" fillId="0" borderId="1" xfId="0" applyFont="1" applyFill="1" applyBorder="1" applyAlignment="1" quotePrefix="1">
      <alignment horizontal="center" vertical="center"/>
    </xf>
    <xf numFmtId="0" fontId="10" fillId="0" borderId="1" xfId="0" applyFont="1" applyFill="1" applyBorder="1" applyAlignment="1" quotePrefix="1">
      <alignment horizontal="center" vertical="center"/>
    </xf>
    <xf numFmtId="0" fontId="8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theme="5" tint="0.4"/>
        </patternFill>
      </fill>
    </dxf>
  </dxfs>
  <tableStyles count="0" defaultTableStyle="TableStyleMedium2" defaultPivotStyle="PivotStyleLight16"/>
  <colors>
    <mruColors>
      <color rgb="00C0504D"/>
      <color rgb="008064A2"/>
      <color rgb="0092D050"/>
      <color rgb="00BDD7EE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5.xml"/><Relationship Id="rId18" Type="http://schemas.openxmlformats.org/officeDocument/2006/relationships/externalLink" Target="externalLinks/externalLink4.xml"/><Relationship Id="rId17" Type="http://schemas.openxmlformats.org/officeDocument/2006/relationships/externalLink" Target="externalLinks/externalLink3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4191;&#35199;1-8&#26376;&#34917;&#32564;&#26126;&#32454;\1&#26376;&#34917;&#32564;&#208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ca47c75\00aed6f8\Users\Administrator\Desktop\&#24191;&#35199;1-8&#26376;&#34917;&#32564;&#26126;&#32454;\1&#26376;&#34917;&#32564;&#2084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cuments\xwechat_files\wxid_jv1gjcgynhr822_85cb\msg\file\2026-05\3&#26376;&#26032;&#21592;&#240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6234;&#35802;&#27719;&#20154;&#20107;&#34892;&#25919;&#25991;&#20214;\3.&#34218;&#37228;&#32489;&#25928;\2.&#34218;&#37228;&#31649;&#29702;\1.&#34218;&#36164;&#34920;\2025&#24180;&#34218;&#36164;\10&#26376;&#34218;&#36164;\10&#26376;&#31038;&#20445;&#20844;&#31215;&#37329;\&#24191;&#35199;10&#26376;&#34917;&#32564;-&#31246;&#21153;&#23548;&#2098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8145;&#22323;\&#28145;&#22323;&#31038;&#20445;&#20844;&#31215;&#37329;\11&#26376;&#31038;&#20445;\&#38518;&#30511;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申报信息明细"/>
      <sheetName val="combo_1_1"/>
      <sheetName val="combo_4_4"/>
      <sheetName val="combo_5_5"/>
      <sheetName val="combo_15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申报信息明细"/>
      <sheetName val="combo_1_1"/>
      <sheetName val="combo_4_4"/>
      <sheetName val="combo_5_5"/>
      <sheetName val="combo_15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-----导入前必读-----"/>
      <sheetName val="花名册隐藏下拉框"/>
      <sheetName val="个人信息"/>
      <sheetName val="学历信息"/>
      <sheetName val="银行卡信息"/>
      <sheetName val="合同信息"/>
      <sheetName val="紧急联系人"/>
      <sheetName val="家庭信息"/>
      <sheetName val="个人材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职工缴费信息数据"/>
      <sheetName val="combo_14_14"/>
      <sheetName val="combo_16_1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-----导入前必读-----"/>
      <sheetName val="基本信息"/>
      <sheetName val="花名册隐藏下拉框"/>
      <sheetName val="工作信息"/>
      <sheetName val="个人信息"/>
      <sheetName val="学历信息"/>
      <sheetName val="银行卡信息"/>
      <sheetName val="合同信息"/>
      <sheetName val="紧急联系人"/>
      <sheetName val="家庭信息"/>
      <sheetName val="个人材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8"/>
  <sheetViews>
    <sheetView zoomScale="85" zoomScaleNormal="85" workbookViewId="0">
      <pane xSplit="1" ySplit="2" topLeftCell="C89" activePane="bottomRight" state="frozen"/>
      <selection/>
      <selection pane="topRight"/>
      <selection pane="bottomLeft"/>
      <selection pane="bottomRight" activeCell="J116" sqref="J116"/>
    </sheetView>
  </sheetViews>
  <sheetFormatPr defaultColWidth="9" defaultRowHeight="19.95" customHeight="1"/>
  <cols>
    <col min="1" max="1" width="23.2416666666667" style="349" customWidth="1"/>
    <col min="2" max="2" width="9" style="270"/>
    <col min="3" max="4" width="9" style="349" customWidth="1"/>
    <col min="5" max="5" width="32.8" style="349" customWidth="1"/>
    <col min="6" max="6" width="17.3333333333333" style="349" customWidth="1"/>
    <col min="7" max="7" width="10.4416666666667" style="349" customWidth="1"/>
    <col min="8" max="9" width="9.33333333333333" style="270" customWidth="1"/>
    <col min="10" max="20" width="9" style="349" customWidth="1"/>
    <col min="21" max="21" width="9.44166666666667" style="352" customWidth="1"/>
    <col min="22" max="22" width="10.3333333333333" style="349" customWidth="1"/>
    <col min="23" max="23" width="9" style="349" customWidth="1"/>
    <col min="24" max="24" width="130.741666666667" style="279" customWidth="1"/>
    <col min="25" max="16384" width="9" style="397"/>
  </cols>
  <sheetData>
    <row r="1" s="348" customFormat="1" ht="14.25" spans="1:24">
      <c r="A1" s="398" t="s">
        <v>0</v>
      </c>
      <c r="B1" s="354" t="s">
        <v>1</v>
      </c>
      <c r="C1" s="355" t="s">
        <v>2</v>
      </c>
      <c r="D1" s="353" t="s">
        <v>3</v>
      </c>
      <c r="E1" s="353" t="s">
        <v>4</v>
      </c>
      <c r="F1" s="356" t="s">
        <v>5</v>
      </c>
      <c r="G1" s="357" t="s">
        <v>6</v>
      </c>
      <c r="H1" s="358" t="s">
        <v>7</v>
      </c>
      <c r="I1" s="359" t="s">
        <v>8</v>
      </c>
      <c r="J1" s="359" t="s">
        <v>9</v>
      </c>
      <c r="K1" s="359" t="s">
        <v>10</v>
      </c>
      <c r="L1" s="359" t="s">
        <v>11</v>
      </c>
      <c r="M1" s="359" t="s">
        <v>12</v>
      </c>
      <c r="N1" s="359" t="s">
        <v>13</v>
      </c>
      <c r="O1" s="353" t="s">
        <v>14</v>
      </c>
      <c r="P1" s="353" t="s">
        <v>15</v>
      </c>
      <c r="Q1" s="359" t="s">
        <v>16</v>
      </c>
      <c r="R1" s="360" t="s">
        <v>17</v>
      </c>
      <c r="S1" s="361" t="s">
        <v>18</v>
      </c>
      <c r="T1" s="359" t="s">
        <v>19</v>
      </c>
      <c r="U1" s="362" t="s">
        <v>20</v>
      </c>
      <c r="V1" s="363" t="s">
        <v>21</v>
      </c>
      <c r="W1" s="353" t="s">
        <v>22</v>
      </c>
      <c r="X1" s="359" t="s">
        <v>23</v>
      </c>
    </row>
    <row r="2" s="348" customFormat="1" ht="28.5" spans="1:24">
      <c r="A2" s="399"/>
      <c r="B2" s="354"/>
      <c r="C2" s="355"/>
      <c r="D2" s="353"/>
      <c r="E2" s="353"/>
      <c r="F2" s="356"/>
      <c r="G2" s="357"/>
      <c r="H2" s="358"/>
      <c r="I2" s="359"/>
      <c r="J2" s="359"/>
      <c r="K2" s="359"/>
      <c r="L2" s="359"/>
      <c r="M2" s="359"/>
      <c r="N2" s="359"/>
      <c r="O2" s="353"/>
      <c r="P2" s="353"/>
      <c r="Q2" s="359"/>
      <c r="R2" s="360"/>
      <c r="S2" s="367"/>
      <c r="T2" s="359"/>
      <c r="U2" s="368"/>
      <c r="V2" s="369"/>
      <c r="W2" s="359" t="s">
        <v>24</v>
      </c>
      <c r="X2" s="359"/>
    </row>
    <row r="3" s="349" customFormat="1" ht="22" customHeight="1" spans="1:24">
      <c r="A3" s="370" t="s">
        <v>25</v>
      </c>
      <c r="B3" s="285" t="s">
        <v>26</v>
      </c>
      <c r="C3" s="370">
        <v>4</v>
      </c>
      <c r="D3" s="370" t="s">
        <v>27</v>
      </c>
      <c r="E3" s="370" t="s">
        <v>28</v>
      </c>
      <c r="F3" s="371">
        <v>44552</v>
      </c>
      <c r="G3" s="51">
        <f ca="1" t="shared" ref="G3:V3" si="0">VLOOKUP($B3,INDIRECT($D3&amp;"!$AG$1:$AY$66"),MATCH(G$1,INDIRECT($D3&amp;"!$AG$1:$AY$1"),0),0)</f>
        <v>24</v>
      </c>
      <c r="H3" s="51">
        <f ca="1" t="shared" si="0"/>
        <v>22</v>
      </c>
      <c r="I3" s="51">
        <f ca="1" t="shared" si="0"/>
        <v>0</v>
      </c>
      <c r="J3" s="51">
        <f ca="1" t="shared" si="0"/>
        <v>0</v>
      </c>
      <c r="K3" s="51">
        <f ca="1" t="shared" si="0"/>
        <v>0</v>
      </c>
      <c r="L3" s="51">
        <f ca="1" t="shared" si="0"/>
        <v>0</v>
      </c>
      <c r="M3" s="51">
        <f ca="1" t="shared" si="0"/>
        <v>1</v>
      </c>
      <c r="N3" s="51">
        <f ca="1" t="shared" si="0"/>
        <v>0</v>
      </c>
      <c r="O3" s="51">
        <f ca="1" t="shared" si="0"/>
        <v>0</v>
      </c>
      <c r="P3" s="51">
        <f ca="1" t="shared" si="0"/>
        <v>0</v>
      </c>
      <c r="Q3" s="51">
        <f ca="1" t="shared" si="0"/>
        <v>0</v>
      </c>
      <c r="R3" s="51">
        <f ca="1" t="shared" si="0"/>
        <v>0</v>
      </c>
      <c r="S3" s="51">
        <f ca="1" t="shared" si="0"/>
        <v>0</v>
      </c>
      <c r="T3" s="51">
        <f ca="1" t="shared" si="0"/>
        <v>1</v>
      </c>
      <c r="U3" s="51">
        <f ca="1" t="shared" si="0"/>
        <v>24</v>
      </c>
      <c r="V3" s="51">
        <f ca="1" t="shared" si="0"/>
        <v>0</v>
      </c>
      <c r="W3" s="51">
        <f ca="1" t="shared" ref="W3:W66" si="1">VLOOKUP($B3,INDIRECT($D3&amp;"!$AG$1:$AY$66"),MATCH(W$2,INDIRECT($D3&amp;"!$AG$1:$AY$1"),0),0)</f>
        <v>200</v>
      </c>
      <c r="X3" s="316" t="str">
        <f ca="1">VLOOKUP($B3,INDIRECT($D3&amp;"!$AG$1:$AZ$66"),MATCH(X$1,INDIRECT($D3&amp;"!$AG$1:$AZ$1"),0),0)</f>
        <v>全勤，年假 8小时(04/20 09:00-04/20 18:30)</v>
      </c>
    </row>
    <row r="4" s="349" customFormat="1" ht="22" customHeight="1" spans="1:24">
      <c r="A4" s="370" t="s">
        <v>29</v>
      </c>
      <c r="B4" s="285" t="s">
        <v>30</v>
      </c>
      <c r="C4" s="370">
        <v>4</v>
      </c>
      <c r="D4" s="370" t="s">
        <v>27</v>
      </c>
      <c r="E4" s="370" t="s">
        <v>28</v>
      </c>
      <c r="F4" s="371">
        <v>45727</v>
      </c>
      <c r="G4" s="51">
        <f ca="1" t="shared" ref="G4:V4" si="2">VLOOKUP($B4,INDIRECT($D4&amp;"!$AG$1:$AY$66"),MATCH(G$1,INDIRECT($D4&amp;"!$AG$1:$AY$1"),0),0)</f>
        <v>24</v>
      </c>
      <c r="H4" s="51">
        <f ca="1" t="shared" si="2"/>
        <v>22</v>
      </c>
      <c r="I4" s="51">
        <f ca="1" t="shared" si="2"/>
        <v>0</v>
      </c>
      <c r="J4" s="51">
        <f ca="1" t="shared" si="2"/>
        <v>0</v>
      </c>
      <c r="K4" s="51">
        <f ca="1" t="shared" si="2"/>
        <v>0</v>
      </c>
      <c r="L4" s="51">
        <f ca="1" t="shared" si="2"/>
        <v>0</v>
      </c>
      <c r="M4" s="51">
        <f ca="1" t="shared" si="2"/>
        <v>1</v>
      </c>
      <c r="N4" s="51">
        <f ca="1" t="shared" si="2"/>
        <v>0</v>
      </c>
      <c r="O4" s="51">
        <f ca="1" t="shared" si="2"/>
        <v>0</v>
      </c>
      <c r="P4" s="51">
        <f ca="1" t="shared" si="2"/>
        <v>0</v>
      </c>
      <c r="Q4" s="51">
        <f ca="1" t="shared" si="2"/>
        <v>0</v>
      </c>
      <c r="R4" s="51">
        <f ca="1" t="shared" si="2"/>
        <v>0</v>
      </c>
      <c r="S4" s="51">
        <f ca="1" t="shared" si="2"/>
        <v>0</v>
      </c>
      <c r="T4" s="51">
        <f ca="1" t="shared" si="2"/>
        <v>1</v>
      </c>
      <c r="U4" s="51">
        <f ca="1" t="shared" si="2"/>
        <v>24</v>
      </c>
      <c r="V4" s="51">
        <f ca="1" t="shared" si="2"/>
        <v>0</v>
      </c>
      <c r="W4" s="51">
        <f ca="1" t="shared" si="1"/>
        <v>200</v>
      </c>
      <c r="X4" s="316" t="str">
        <f ca="1" t="shared" ref="X4:X67" si="3">VLOOKUP($B4,INDIRECT($D4&amp;"!$AG$1:$AY$66"),MATCH(X$1,INDIRECT($D4&amp;"!$AG$1:$AY$1"),0),0)</f>
        <v>全勤，外出 4.5小时(04/03 14:00-04/03 18:30);外出 6.5小时(04/22 12:00-04/22 18:30);年假 8小时(04/24 09:00-04/24 18:30)</v>
      </c>
    </row>
    <row r="5" s="349" customFormat="1" ht="22" customHeight="1" spans="1:24">
      <c r="A5" s="401" t="s">
        <v>31</v>
      </c>
      <c r="B5" s="51" t="s">
        <v>32</v>
      </c>
      <c r="C5" s="370">
        <v>4</v>
      </c>
      <c r="D5" s="370" t="s">
        <v>27</v>
      </c>
      <c r="E5" s="370" t="s">
        <v>28</v>
      </c>
      <c r="F5" s="371">
        <v>46134</v>
      </c>
      <c r="G5" s="51">
        <f ca="1" t="shared" ref="G5:V5" si="4">VLOOKUP($B5,INDIRECT($D5&amp;"!$AG$1:$AY$66"),MATCH(G$1,INDIRECT($D5&amp;"!$AG$1:$AY$1"),0),0)</f>
        <v>24</v>
      </c>
      <c r="H5" s="51">
        <f ca="1" t="shared" si="4"/>
        <v>23</v>
      </c>
      <c r="I5" s="51">
        <f ca="1" t="shared" si="4"/>
        <v>0</v>
      </c>
      <c r="J5" s="51">
        <f ca="1" t="shared" si="4"/>
        <v>0</v>
      </c>
      <c r="K5" s="51">
        <f ca="1" t="shared" si="4"/>
        <v>0</v>
      </c>
      <c r="L5" s="51">
        <f ca="1" t="shared" si="4"/>
        <v>0</v>
      </c>
      <c r="M5" s="51">
        <f ca="1" t="shared" si="4"/>
        <v>0</v>
      </c>
      <c r="N5" s="51">
        <f ca="1" t="shared" si="4"/>
        <v>0</v>
      </c>
      <c r="O5" s="51">
        <f ca="1" t="shared" si="4"/>
        <v>0</v>
      </c>
      <c r="P5" s="51">
        <f ca="1" t="shared" si="4"/>
        <v>0</v>
      </c>
      <c r="Q5" s="51">
        <f ca="1" t="shared" si="4"/>
        <v>0</v>
      </c>
      <c r="R5" s="51">
        <f ca="1" t="shared" si="4"/>
        <v>0</v>
      </c>
      <c r="S5" s="51">
        <f ca="1" t="shared" si="4"/>
        <v>0</v>
      </c>
      <c r="T5" s="51">
        <f ca="1" t="shared" si="4"/>
        <v>1</v>
      </c>
      <c r="U5" s="51">
        <f ca="1" t="shared" si="4"/>
        <v>24</v>
      </c>
      <c r="V5" s="51">
        <f ca="1" t="shared" si="4"/>
        <v>0</v>
      </c>
      <c r="W5" s="51">
        <f ca="1" t="shared" si="1"/>
        <v>200</v>
      </c>
      <c r="X5" s="316" t="str">
        <f ca="1" t="shared" si="3"/>
        <v>全勤，外出 1.5小时(04/28 10:30-04/28 12:00)</v>
      </c>
    </row>
    <row r="6" s="349" customFormat="1" ht="22" customHeight="1" spans="1:24">
      <c r="A6" s="370" t="s">
        <v>33</v>
      </c>
      <c r="B6" s="51" t="s">
        <v>34</v>
      </c>
      <c r="C6" s="370">
        <v>4</v>
      </c>
      <c r="D6" s="370" t="s">
        <v>27</v>
      </c>
      <c r="E6" s="370" t="s">
        <v>28</v>
      </c>
      <c r="F6" s="371"/>
      <c r="G6" s="51">
        <f ca="1" t="shared" ref="G6:V6" si="5">VLOOKUP($B6,INDIRECT($D6&amp;"!$AG$1:$AY$66"),MATCH(G$1,INDIRECT($D6&amp;"!$AG$1:$AY$1"),0),0)</f>
        <v>24</v>
      </c>
      <c r="H6" s="51">
        <f ca="1" t="shared" si="5"/>
        <v>23</v>
      </c>
      <c r="I6" s="51">
        <f ca="1" t="shared" si="5"/>
        <v>0</v>
      </c>
      <c r="J6" s="51">
        <f ca="1" t="shared" si="5"/>
        <v>0</v>
      </c>
      <c r="K6" s="51">
        <f ca="1" t="shared" si="5"/>
        <v>0</v>
      </c>
      <c r="L6" s="51">
        <f ca="1" t="shared" si="5"/>
        <v>0</v>
      </c>
      <c r="M6" s="51">
        <f ca="1" t="shared" si="5"/>
        <v>0</v>
      </c>
      <c r="N6" s="51">
        <f ca="1" t="shared" si="5"/>
        <v>0</v>
      </c>
      <c r="O6" s="51">
        <f ca="1" t="shared" si="5"/>
        <v>0</v>
      </c>
      <c r="P6" s="51">
        <f ca="1" t="shared" si="5"/>
        <v>0</v>
      </c>
      <c r="Q6" s="51">
        <f ca="1" t="shared" si="5"/>
        <v>0</v>
      </c>
      <c r="R6" s="51">
        <f ca="1" t="shared" si="5"/>
        <v>0</v>
      </c>
      <c r="S6" s="51">
        <f ca="1" t="shared" si="5"/>
        <v>0</v>
      </c>
      <c r="T6" s="51">
        <f ca="1" t="shared" si="5"/>
        <v>1</v>
      </c>
      <c r="U6" s="51">
        <f ca="1" t="shared" si="5"/>
        <v>24</v>
      </c>
      <c r="V6" s="51">
        <f ca="1" t="shared" si="5"/>
        <v>0</v>
      </c>
      <c r="W6" s="51">
        <f ca="1" t="shared" si="1"/>
        <v>200</v>
      </c>
      <c r="X6" s="316" t="str">
        <f ca="1" t="shared" si="3"/>
        <v>全勤</v>
      </c>
    </row>
    <row r="7" s="349" customFormat="1" ht="22" customHeight="1" spans="1:24">
      <c r="A7" s="401" t="s">
        <v>35</v>
      </c>
      <c r="B7" s="285" t="s">
        <v>36</v>
      </c>
      <c r="C7" s="370">
        <v>4</v>
      </c>
      <c r="D7" s="370" t="s">
        <v>27</v>
      </c>
      <c r="E7" s="370" t="s">
        <v>28</v>
      </c>
      <c r="F7" s="371">
        <v>46113</v>
      </c>
      <c r="G7" s="51">
        <f ca="1" t="shared" ref="G7:V7" si="6">VLOOKUP($B7,INDIRECT($D7&amp;"!$AG$1:$AY$66"),MATCH(G$1,INDIRECT($D7&amp;"!$AG$1:$AY$1"),0),0)</f>
        <v>24</v>
      </c>
      <c r="H7" s="51">
        <f ca="1" t="shared" si="6"/>
        <v>23</v>
      </c>
      <c r="I7" s="51">
        <f ca="1" t="shared" si="6"/>
        <v>0</v>
      </c>
      <c r="J7" s="51">
        <f ca="1" t="shared" si="6"/>
        <v>0</v>
      </c>
      <c r="K7" s="51">
        <f ca="1" t="shared" si="6"/>
        <v>0</v>
      </c>
      <c r="L7" s="51">
        <f ca="1" t="shared" si="6"/>
        <v>0</v>
      </c>
      <c r="M7" s="51">
        <f ca="1" t="shared" si="6"/>
        <v>0</v>
      </c>
      <c r="N7" s="51">
        <f ca="1" t="shared" si="6"/>
        <v>0</v>
      </c>
      <c r="O7" s="51">
        <f ca="1" t="shared" si="6"/>
        <v>0</v>
      </c>
      <c r="P7" s="51">
        <f ca="1" t="shared" si="6"/>
        <v>0</v>
      </c>
      <c r="Q7" s="51">
        <f ca="1" t="shared" si="6"/>
        <v>0</v>
      </c>
      <c r="R7" s="51">
        <f ca="1" t="shared" si="6"/>
        <v>0</v>
      </c>
      <c r="S7" s="51">
        <f ca="1" t="shared" si="6"/>
        <v>0</v>
      </c>
      <c r="T7" s="51">
        <f ca="1" t="shared" si="6"/>
        <v>1</v>
      </c>
      <c r="U7" s="51">
        <f ca="1" t="shared" si="6"/>
        <v>24</v>
      </c>
      <c r="V7" s="51">
        <f ca="1" t="shared" si="6"/>
        <v>0</v>
      </c>
      <c r="W7" s="51">
        <f ca="1" t="shared" si="1"/>
        <v>200</v>
      </c>
      <c r="X7" s="316" t="str">
        <f ca="1" t="shared" si="3"/>
        <v>全勤，外出 6.5小时(04/22 12:00-04/22 18:30)</v>
      </c>
    </row>
    <row r="8" s="349" customFormat="1" ht="22" customHeight="1" spans="1:24">
      <c r="A8" s="370" t="s">
        <v>37</v>
      </c>
      <c r="B8" s="285" t="s">
        <v>38</v>
      </c>
      <c r="C8" s="370">
        <v>4</v>
      </c>
      <c r="D8" s="370" t="s">
        <v>27</v>
      </c>
      <c r="E8" s="370" t="s">
        <v>39</v>
      </c>
      <c r="F8" s="371">
        <v>44732</v>
      </c>
      <c r="G8" s="51">
        <f ca="1" t="shared" ref="G8:V8" si="7">VLOOKUP($B8,INDIRECT($D8&amp;"!$AG$1:$AY$66"),MATCH(G$1,INDIRECT($D8&amp;"!$AG$1:$AY$1"),0),0)</f>
        <v>24</v>
      </c>
      <c r="H8" s="51">
        <f ca="1" t="shared" si="7"/>
        <v>22</v>
      </c>
      <c r="I8" s="51">
        <f ca="1" t="shared" si="7"/>
        <v>5</v>
      </c>
      <c r="J8" s="51">
        <f ca="1" t="shared" si="7"/>
        <v>0</v>
      </c>
      <c r="K8" s="51">
        <f ca="1" t="shared" si="7"/>
        <v>0</v>
      </c>
      <c r="L8" s="51">
        <f ca="1" t="shared" si="7"/>
        <v>0.44</v>
      </c>
      <c r="M8" s="51">
        <f ca="1" t="shared" si="7"/>
        <v>0.56</v>
      </c>
      <c r="N8" s="51">
        <f ca="1" t="shared" si="7"/>
        <v>0</v>
      </c>
      <c r="O8" s="51">
        <f ca="1" t="shared" si="7"/>
        <v>0</v>
      </c>
      <c r="P8" s="51">
        <f ca="1" t="shared" si="7"/>
        <v>0</v>
      </c>
      <c r="Q8" s="51">
        <f ca="1" t="shared" si="7"/>
        <v>0</v>
      </c>
      <c r="R8" s="51">
        <f ca="1" t="shared" si="7"/>
        <v>0</v>
      </c>
      <c r="S8" s="51">
        <f ca="1" t="shared" si="7"/>
        <v>0</v>
      </c>
      <c r="T8" s="51">
        <f ca="1" t="shared" si="7"/>
        <v>1</v>
      </c>
      <c r="U8" s="51">
        <f ca="1" t="shared" si="7"/>
        <v>23.56</v>
      </c>
      <c r="V8" s="51">
        <f ca="1" t="shared" si="7"/>
        <v>0</v>
      </c>
      <c r="W8" s="51">
        <f ca="1" t="shared" si="1"/>
        <v>0</v>
      </c>
      <c r="X8" s="316" t="str">
        <f ca="1" t="shared" si="3"/>
        <v>事假 3.5小时(04/04 09:00-04/04 12:30);年假 4.5小时(04/10 14:00-04/10 18:30)，迟到2次共5分钟</v>
      </c>
    </row>
    <row r="9" s="349" customFormat="1" ht="22" customHeight="1" spans="1:24">
      <c r="A9" s="370" t="s">
        <v>40</v>
      </c>
      <c r="B9" s="285" t="s">
        <v>41</v>
      </c>
      <c r="C9" s="370">
        <v>4</v>
      </c>
      <c r="D9" s="370" t="s">
        <v>27</v>
      </c>
      <c r="E9" s="370" t="s">
        <v>39</v>
      </c>
      <c r="F9" s="371">
        <v>44739</v>
      </c>
      <c r="G9" s="51">
        <f ca="1" t="shared" ref="G9:V9" si="8">VLOOKUP($B9,INDIRECT($D9&amp;"!$AG$1:$AY$66"),MATCH(G$1,INDIRECT($D9&amp;"!$AG$1:$AY$1"),0),0)</f>
        <v>24</v>
      </c>
      <c r="H9" s="51">
        <f ca="1" t="shared" si="8"/>
        <v>22.44</v>
      </c>
      <c r="I9" s="51">
        <f ca="1" t="shared" si="8"/>
        <v>0</v>
      </c>
      <c r="J9" s="51">
        <f ca="1" t="shared" si="8"/>
        <v>0</v>
      </c>
      <c r="K9" s="51">
        <f ca="1" t="shared" si="8"/>
        <v>0</v>
      </c>
      <c r="L9" s="51">
        <f ca="1" t="shared" si="8"/>
        <v>0.56</v>
      </c>
      <c r="M9" s="51">
        <f ca="1" t="shared" si="8"/>
        <v>0</v>
      </c>
      <c r="N9" s="51">
        <f ca="1" t="shared" si="8"/>
        <v>0</v>
      </c>
      <c r="O9" s="51">
        <f ca="1" t="shared" si="8"/>
        <v>0</v>
      </c>
      <c r="P9" s="51">
        <f ca="1" t="shared" si="8"/>
        <v>0</v>
      </c>
      <c r="Q9" s="51">
        <f ca="1" t="shared" si="8"/>
        <v>0</v>
      </c>
      <c r="R9" s="51">
        <f ca="1" t="shared" si="8"/>
        <v>0</v>
      </c>
      <c r="S9" s="51">
        <f ca="1" t="shared" si="8"/>
        <v>0</v>
      </c>
      <c r="T9" s="51">
        <f ca="1" t="shared" si="8"/>
        <v>1</v>
      </c>
      <c r="U9" s="51">
        <f ca="1" t="shared" si="8"/>
        <v>23.44</v>
      </c>
      <c r="V9" s="51">
        <f ca="1" t="shared" si="8"/>
        <v>0</v>
      </c>
      <c r="W9" s="51">
        <f ca="1" t="shared" si="1"/>
        <v>0</v>
      </c>
      <c r="X9" s="316" t="str">
        <f ca="1" t="shared" si="3"/>
        <v>事假 4.5小时(04/04 14:00-04/04 18:30)</v>
      </c>
    </row>
    <row r="10" s="349" customFormat="1" ht="22" customHeight="1" spans="1:24">
      <c r="A10" s="401" t="s">
        <v>42</v>
      </c>
      <c r="B10" s="288" t="s">
        <v>43</v>
      </c>
      <c r="C10" s="370">
        <v>4</v>
      </c>
      <c r="D10" s="370" t="s">
        <v>27</v>
      </c>
      <c r="E10" s="370" t="s">
        <v>39</v>
      </c>
      <c r="F10" s="371">
        <v>46085</v>
      </c>
      <c r="G10" s="51">
        <f ca="1" t="shared" ref="G10:V10" si="9">VLOOKUP($B10,INDIRECT($D10&amp;"!$AG$1:$AY$66"),MATCH(G$1,INDIRECT($D10&amp;"!$AG$1:$AY$1"),0),0)</f>
        <v>24</v>
      </c>
      <c r="H10" s="51">
        <f ca="1" t="shared" si="9"/>
        <v>23</v>
      </c>
      <c r="I10" s="51">
        <f ca="1" t="shared" si="9"/>
        <v>0</v>
      </c>
      <c r="J10" s="51">
        <f ca="1" t="shared" si="9"/>
        <v>0</v>
      </c>
      <c r="K10" s="51">
        <f ca="1" t="shared" si="9"/>
        <v>0</v>
      </c>
      <c r="L10" s="51">
        <f ca="1" t="shared" si="9"/>
        <v>0</v>
      </c>
      <c r="M10" s="51">
        <f ca="1" t="shared" si="9"/>
        <v>0</v>
      </c>
      <c r="N10" s="51">
        <f ca="1" t="shared" si="9"/>
        <v>0</v>
      </c>
      <c r="O10" s="51">
        <f ca="1" t="shared" si="9"/>
        <v>0</v>
      </c>
      <c r="P10" s="51">
        <f ca="1" t="shared" si="9"/>
        <v>0</v>
      </c>
      <c r="Q10" s="51">
        <f ca="1" t="shared" si="9"/>
        <v>0</v>
      </c>
      <c r="R10" s="51">
        <f ca="1" t="shared" si="9"/>
        <v>0</v>
      </c>
      <c r="S10" s="51">
        <f ca="1" t="shared" si="9"/>
        <v>0</v>
      </c>
      <c r="T10" s="51">
        <f ca="1" t="shared" si="9"/>
        <v>1</v>
      </c>
      <c r="U10" s="51">
        <f ca="1" t="shared" si="9"/>
        <v>24</v>
      </c>
      <c r="V10" s="51">
        <f ca="1" t="shared" si="9"/>
        <v>0</v>
      </c>
      <c r="W10" s="51">
        <f ca="1" t="shared" si="1"/>
        <v>200</v>
      </c>
      <c r="X10" s="316" t="str">
        <f ca="1" t="shared" si="3"/>
        <v>全勤</v>
      </c>
    </row>
    <row r="11" s="349" customFormat="1" ht="22" customHeight="1" spans="1:24">
      <c r="A11" s="370" t="s">
        <v>44</v>
      </c>
      <c r="B11" s="285" t="s">
        <v>45</v>
      </c>
      <c r="C11" s="370">
        <v>4</v>
      </c>
      <c r="D11" s="370" t="s">
        <v>27</v>
      </c>
      <c r="E11" s="370" t="s">
        <v>46</v>
      </c>
      <c r="F11" s="371">
        <v>45471</v>
      </c>
      <c r="G11" s="51">
        <f ca="1" t="shared" ref="G11:V11" si="10">VLOOKUP($B11,INDIRECT($D11&amp;"!$AG$1:$AY$66"),MATCH(G$1,INDIRECT($D11&amp;"!$AG$1:$AY$1"),0),0)</f>
        <v>24</v>
      </c>
      <c r="H11" s="51">
        <f ca="1" t="shared" si="10"/>
        <v>22</v>
      </c>
      <c r="I11" s="51">
        <f ca="1" t="shared" si="10"/>
        <v>0</v>
      </c>
      <c r="J11" s="51">
        <f ca="1" t="shared" si="10"/>
        <v>0</v>
      </c>
      <c r="K11" s="51">
        <f ca="1" t="shared" si="10"/>
        <v>0</v>
      </c>
      <c r="L11" s="51">
        <f ca="1" t="shared" si="10"/>
        <v>0</v>
      </c>
      <c r="M11" s="51">
        <f ca="1" t="shared" si="10"/>
        <v>1</v>
      </c>
      <c r="N11" s="51">
        <f ca="1" t="shared" si="10"/>
        <v>0</v>
      </c>
      <c r="O11" s="51">
        <f ca="1" t="shared" si="10"/>
        <v>0</v>
      </c>
      <c r="P11" s="51">
        <f ca="1" t="shared" si="10"/>
        <v>0</v>
      </c>
      <c r="Q11" s="51">
        <f ca="1" t="shared" si="10"/>
        <v>0</v>
      </c>
      <c r="R11" s="51">
        <f ca="1" t="shared" si="10"/>
        <v>0</v>
      </c>
      <c r="S11" s="51">
        <f ca="1" t="shared" si="10"/>
        <v>0</v>
      </c>
      <c r="T11" s="51">
        <f ca="1" t="shared" si="10"/>
        <v>1</v>
      </c>
      <c r="U11" s="51">
        <f ca="1" t="shared" si="10"/>
        <v>24</v>
      </c>
      <c r="V11" s="51">
        <f ca="1" t="shared" si="10"/>
        <v>0</v>
      </c>
      <c r="W11" s="51">
        <f ca="1" t="shared" si="1"/>
        <v>200</v>
      </c>
      <c r="X11" s="316" t="str">
        <f ca="1" t="shared" si="3"/>
        <v>全勤，年假 8小时(04/24 09:00-04/24 18:30)</v>
      </c>
    </row>
    <row r="12" s="349" customFormat="1" ht="22" customHeight="1" spans="1:24">
      <c r="A12" s="370" t="s">
        <v>47</v>
      </c>
      <c r="B12" s="285" t="s">
        <v>48</v>
      </c>
      <c r="C12" s="370">
        <v>4</v>
      </c>
      <c r="D12" s="370" t="s">
        <v>27</v>
      </c>
      <c r="E12" s="370" t="s">
        <v>46</v>
      </c>
      <c r="F12" s="371">
        <v>43360</v>
      </c>
      <c r="G12" s="51">
        <f ca="1" t="shared" ref="G12:V12" si="11">VLOOKUP($B12,INDIRECT($D12&amp;"!$AG$1:$AY$66"),MATCH(G$1,INDIRECT($D12&amp;"!$AG$1:$AY$1"),0),0)</f>
        <v>24</v>
      </c>
      <c r="H12" s="51">
        <f ca="1" t="shared" si="11"/>
        <v>23</v>
      </c>
      <c r="I12" s="51">
        <f ca="1" t="shared" si="11"/>
        <v>0</v>
      </c>
      <c r="J12" s="51">
        <f ca="1" t="shared" si="11"/>
        <v>0</v>
      </c>
      <c r="K12" s="51">
        <f ca="1" t="shared" si="11"/>
        <v>0</v>
      </c>
      <c r="L12" s="51">
        <f ca="1" t="shared" si="11"/>
        <v>0</v>
      </c>
      <c r="M12" s="51">
        <f ca="1" t="shared" si="11"/>
        <v>0</v>
      </c>
      <c r="N12" s="51">
        <f ca="1" t="shared" si="11"/>
        <v>0</v>
      </c>
      <c r="O12" s="51">
        <f ca="1" t="shared" si="11"/>
        <v>0</v>
      </c>
      <c r="P12" s="51">
        <f ca="1" t="shared" si="11"/>
        <v>0</v>
      </c>
      <c r="Q12" s="51">
        <f ca="1" t="shared" si="11"/>
        <v>0</v>
      </c>
      <c r="R12" s="51">
        <f ca="1" t="shared" si="11"/>
        <v>0</v>
      </c>
      <c r="S12" s="51">
        <f ca="1" t="shared" si="11"/>
        <v>0</v>
      </c>
      <c r="T12" s="51">
        <f ca="1" t="shared" si="11"/>
        <v>1</v>
      </c>
      <c r="U12" s="51">
        <f ca="1" t="shared" si="11"/>
        <v>24</v>
      </c>
      <c r="V12" s="51">
        <f ca="1" t="shared" si="11"/>
        <v>0</v>
      </c>
      <c r="W12" s="51">
        <f ca="1" t="shared" si="1"/>
        <v>200</v>
      </c>
      <c r="X12" s="316" t="str">
        <f ca="1" t="shared" si="3"/>
        <v>全勤</v>
      </c>
    </row>
    <row r="13" s="349" customFormat="1" ht="22" customHeight="1" spans="1:24">
      <c r="A13" s="370" t="s">
        <v>49</v>
      </c>
      <c r="B13" s="285" t="s">
        <v>50</v>
      </c>
      <c r="C13" s="370">
        <v>4</v>
      </c>
      <c r="D13" s="370" t="s">
        <v>27</v>
      </c>
      <c r="E13" s="370" t="s">
        <v>46</v>
      </c>
      <c r="F13" s="371">
        <v>45468</v>
      </c>
      <c r="G13" s="51">
        <f ca="1" t="shared" ref="G13:V13" si="12">VLOOKUP($B13,INDIRECT($D13&amp;"!$AG$1:$AY$66"),MATCH(G$1,INDIRECT($D13&amp;"!$AG$1:$AY$1"),0),0)</f>
        <v>24</v>
      </c>
      <c r="H13" s="51">
        <f ca="1" t="shared" si="12"/>
        <v>23</v>
      </c>
      <c r="I13" s="51">
        <f ca="1" t="shared" si="12"/>
        <v>0</v>
      </c>
      <c r="J13" s="51">
        <f ca="1" t="shared" si="12"/>
        <v>0</v>
      </c>
      <c r="K13" s="51">
        <f ca="1" t="shared" si="12"/>
        <v>0</v>
      </c>
      <c r="L13" s="51">
        <f ca="1" t="shared" si="12"/>
        <v>0</v>
      </c>
      <c r="M13" s="51">
        <f ca="1" t="shared" si="12"/>
        <v>0</v>
      </c>
      <c r="N13" s="51">
        <f ca="1" t="shared" si="12"/>
        <v>0</v>
      </c>
      <c r="O13" s="51">
        <f ca="1" t="shared" si="12"/>
        <v>0</v>
      </c>
      <c r="P13" s="51">
        <f ca="1" t="shared" si="12"/>
        <v>0</v>
      </c>
      <c r="Q13" s="51">
        <f ca="1" t="shared" si="12"/>
        <v>0</v>
      </c>
      <c r="R13" s="51">
        <f ca="1" t="shared" si="12"/>
        <v>0</v>
      </c>
      <c r="S13" s="51">
        <f ca="1" t="shared" si="12"/>
        <v>0</v>
      </c>
      <c r="T13" s="51">
        <f ca="1" t="shared" si="12"/>
        <v>1</v>
      </c>
      <c r="U13" s="51">
        <f ca="1" t="shared" si="12"/>
        <v>24</v>
      </c>
      <c r="V13" s="51">
        <f ca="1" t="shared" si="12"/>
        <v>0</v>
      </c>
      <c r="W13" s="51">
        <f ca="1" t="shared" si="1"/>
        <v>200</v>
      </c>
      <c r="X13" s="316" t="str">
        <f ca="1" t="shared" si="3"/>
        <v>全勤</v>
      </c>
    </row>
    <row r="14" s="349" customFormat="1" ht="22" customHeight="1" spans="1:24">
      <c r="A14" s="401" t="s">
        <v>51</v>
      </c>
      <c r="B14" s="51" t="s">
        <v>52</v>
      </c>
      <c r="C14" s="370">
        <v>4</v>
      </c>
      <c r="D14" s="370" t="s">
        <v>27</v>
      </c>
      <c r="E14" s="370" t="s">
        <v>46</v>
      </c>
      <c r="F14" s="371"/>
      <c r="G14" s="51">
        <f ca="1" t="shared" ref="G14:V14" si="13">VLOOKUP($B14,INDIRECT($D14&amp;"!$AG$1:$AY$66"),MATCH(G$1,INDIRECT($D14&amp;"!$AG$1:$AY$1"),0),0)</f>
        <v>24</v>
      </c>
      <c r="H14" s="51">
        <f ca="1" t="shared" si="13"/>
        <v>23</v>
      </c>
      <c r="I14" s="51">
        <f ca="1" t="shared" si="13"/>
        <v>1</v>
      </c>
      <c r="J14" s="51">
        <f ca="1" t="shared" si="13"/>
        <v>0</v>
      </c>
      <c r="K14" s="51">
        <f ca="1" t="shared" si="13"/>
        <v>0</v>
      </c>
      <c r="L14" s="51">
        <f ca="1" t="shared" si="13"/>
        <v>0</v>
      </c>
      <c r="M14" s="51">
        <f ca="1" t="shared" si="13"/>
        <v>0</v>
      </c>
      <c r="N14" s="51">
        <f ca="1" t="shared" si="13"/>
        <v>0</v>
      </c>
      <c r="O14" s="51">
        <f ca="1" t="shared" si="13"/>
        <v>0</v>
      </c>
      <c r="P14" s="51">
        <f ca="1" t="shared" si="13"/>
        <v>0</v>
      </c>
      <c r="Q14" s="51">
        <f ca="1" t="shared" si="13"/>
        <v>0</v>
      </c>
      <c r="R14" s="51">
        <f ca="1" t="shared" si="13"/>
        <v>0</v>
      </c>
      <c r="S14" s="51">
        <f ca="1" t="shared" si="13"/>
        <v>0</v>
      </c>
      <c r="T14" s="51">
        <f ca="1" t="shared" si="13"/>
        <v>1</v>
      </c>
      <c r="U14" s="51">
        <f ca="1" t="shared" si="13"/>
        <v>24</v>
      </c>
      <c r="V14" s="51">
        <f ca="1" t="shared" si="13"/>
        <v>0</v>
      </c>
      <c r="W14" s="51">
        <f ca="1" t="shared" si="1"/>
        <v>0</v>
      </c>
      <c r="X14" s="316" t="str">
        <f ca="1" t="shared" si="3"/>
        <v>迟到1分钟</v>
      </c>
    </row>
    <row r="15" s="349" customFormat="1" ht="22" customHeight="1" spans="1:24">
      <c r="A15" s="401" t="s">
        <v>53</v>
      </c>
      <c r="B15" s="51" t="s">
        <v>54</v>
      </c>
      <c r="C15" s="370">
        <v>4</v>
      </c>
      <c r="D15" s="370" t="s">
        <v>27</v>
      </c>
      <c r="E15" s="370" t="s">
        <v>46</v>
      </c>
      <c r="F15" s="371"/>
      <c r="G15" s="51">
        <f ca="1" t="shared" ref="G15:V15" si="14">VLOOKUP($B15,INDIRECT($D15&amp;"!$AG$1:$AY$66"),MATCH(G$1,INDIRECT($D15&amp;"!$AG$1:$AY$1"),0),0)</f>
        <v>24</v>
      </c>
      <c r="H15" s="51">
        <f ca="1" t="shared" si="14"/>
        <v>23</v>
      </c>
      <c r="I15" s="51">
        <f ca="1" t="shared" si="14"/>
        <v>0</v>
      </c>
      <c r="J15" s="51">
        <f ca="1" t="shared" si="14"/>
        <v>0</v>
      </c>
      <c r="K15" s="51">
        <f ca="1" t="shared" si="14"/>
        <v>0</v>
      </c>
      <c r="L15" s="51">
        <f ca="1" t="shared" si="14"/>
        <v>0</v>
      </c>
      <c r="M15" s="51">
        <f ca="1" t="shared" si="14"/>
        <v>0</v>
      </c>
      <c r="N15" s="51">
        <f ca="1" t="shared" si="14"/>
        <v>0</v>
      </c>
      <c r="O15" s="51">
        <f ca="1" t="shared" si="14"/>
        <v>0</v>
      </c>
      <c r="P15" s="51">
        <f ca="1" t="shared" si="14"/>
        <v>0</v>
      </c>
      <c r="Q15" s="51">
        <f ca="1" t="shared" si="14"/>
        <v>0</v>
      </c>
      <c r="R15" s="51">
        <f ca="1" t="shared" si="14"/>
        <v>0</v>
      </c>
      <c r="S15" s="51">
        <f ca="1" t="shared" si="14"/>
        <v>0</v>
      </c>
      <c r="T15" s="51">
        <f ca="1" t="shared" si="14"/>
        <v>1</v>
      </c>
      <c r="U15" s="51">
        <f ca="1" t="shared" si="14"/>
        <v>24</v>
      </c>
      <c r="V15" s="51">
        <f ca="1" t="shared" si="14"/>
        <v>0</v>
      </c>
      <c r="W15" s="51">
        <f ca="1" t="shared" si="1"/>
        <v>200</v>
      </c>
      <c r="X15" s="316" t="str">
        <f ca="1" t="shared" si="3"/>
        <v>全勤</v>
      </c>
    </row>
    <row r="16" s="349" customFormat="1" ht="22" customHeight="1" spans="1:24">
      <c r="A16" s="370" t="s">
        <v>55</v>
      </c>
      <c r="B16" s="285" t="s">
        <v>56</v>
      </c>
      <c r="C16" s="370">
        <v>4</v>
      </c>
      <c r="D16" s="370" t="s">
        <v>27</v>
      </c>
      <c r="E16" s="370" t="s">
        <v>57</v>
      </c>
      <c r="F16" s="371">
        <v>43830</v>
      </c>
      <c r="G16" s="51">
        <f ca="1" t="shared" ref="G16:V16" si="15">VLOOKUP($B16,INDIRECT($D16&amp;"!$AG$1:$AY$66"),MATCH(G$1,INDIRECT($D16&amp;"!$AG$1:$AY$1"),0),0)</f>
        <v>24</v>
      </c>
      <c r="H16" s="51">
        <f ca="1" t="shared" si="15"/>
        <v>22</v>
      </c>
      <c r="I16" s="51">
        <f ca="1" t="shared" si="15"/>
        <v>0</v>
      </c>
      <c r="J16" s="51">
        <f ca="1" t="shared" si="15"/>
        <v>0</v>
      </c>
      <c r="K16" s="51">
        <f ca="1" t="shared" si="15"/>
        <v>0</v>
      </c>
      <c r="L16" s="51">
        <f ca="1" t="shared" si="15"/>
        <v>0</v>
      </c>
      <c r="M16" s="51">
        <f ca="1" t="shared" si="15"/>
        <v>1</v>
      </c>
      <c r="N16" s="51">
        <f ca="1" t="shared" si="15"/>
        <v>0</v>
      </c>
      <c r="O16" s="51">
        <f ca="1" t="shared" si="15"/>
        <v>0</v>
      </c>
      <c r="P16" s="51">
        <f ca="1" t="shared" si="15"/>
        <v>0</v>
      </c>
      <c r="Q16" s="51">
        <f ca="1" t="shared" si="15"/>
        <v>0</v>
      </c>
      <c r="R16" s="51">
        <f ca="1" t="shared" si="15"/>
        <v>0</v>
      </c>
      <c r="S16" s="51">
        <f ca="1" t="shared" si="15"/>
        <v>0</v>
      </c>
      <c r="T16" s="51">
        <f ca="1" t="shared" si="15"/>
        <v>1</v>
      </c>
      <c r="U16" s="51">
        <f ca="1" t="shared" si="15"/>
        <v>24</v>
      </c>
      <c r="V16" s="51">
        <f ca="1" t="shared" si="15"/>
        <v>0</v>
      </c>
      <c r="W16" s="51">
        <f ca="1" t="shared" si="1"/>
        <v>200</v>
      </c>
      <c r="X16" s="316" t="str">
        <f ca="1" t="shared" si="3"/>
        <v>全勤，年假 8小时(04/01 09:00-04/01 18:30)</v>
      </c>
    </row>
    <row r="17" s="349" customFormat="1" ht="22" customHeight="1" spans="1:24">
      <c r="A17" s="370" t="s">
        <v>58</v>
      </c>
      <c r="B17" s="372" t="s">
        <v>59</v>
      </c>
      <c r="C17" s="370">
        <v>4</v>
      </c>
      <c r="D17" s="370" t="s">
        <v>27</v>
      </c>
      <c r="E17" s="370" t="s">
        <v>57</v>
      </c>
      <c r="F17" s="371">
        <v>45546</v>
      </c>
      <c r="G17" s="51">
        <f ca="1" t="shared" ref="G17:V17" si="16">VLOOKUP($B17,INDIRECT($D17&amp;"!$AG$1:$AY$66"),MATCH(G$1,INDIRECT($D17&amp;"!$AG$1:$AY$1"),0),0)</f>
        <v>24</v>
      </c>
      <c r="H17" s="51">
        <f ca="1" t="shared" si="16"/>
        <v>13</v>
      </c>
      <c r="I17" s="51">
        <f ca="1" t="shared" si="16"/>
        <v>0</v>
      </c>
      <c r="J17" s="51">
        <f ca="1" t="shared" si="16"/>
        <v>0</v>
      </c>
      <c r="K17" s="51">
        <f ca="1" t="shared" si="16"/>
        <v>0</v>
      </c>
      <c r="L17" s="51">
        <f ca="1" t="shared" si="16"/>
        <v>1</v>
      </c>
      <c r="M17" s="51">
        <f ca="1" t="shared" si="16"/>
        <v>0</v>
      </c>
      <c r="N17" s="51">
        <f ca="1" t="shared" si="16"/>
        <v>0</v>
      </c>
      <c r="O17" s="51">
        <f ca="1" t="shared" si="16"/>
        <v>0</v>
      </c>
      <c r="P17" s="51">
        <f ca="1" t="shared" si="16"/>
        <v>0</v>
      </c>
      <c r="Q17" s="51">
        <f ca="1" t="shared" si="16"/>
        <v>0</v>
      </c>
      <c r="R17" s="51">
        <f ca="1" t="shared" si="16"/>
        <v>0</v>
      </c>
      <c r="S17" s="51">
        <f ca="1" t="shared" si="16"/>
        <v>0</v>
      </c>
      <c r="T17" s="51">
        <f ca="1" t="shared" si="16"/>
        <v>1</v>
      </c>
      <c r="U17" s="51">
        <f ca="1" t="shared" si="16"/>
        <v>14</v>
      </c>
      <c r="V17" s="51">
        <f ca="1" t="shared" si="16"/>
        <v>0</v>
      </c>
      <c r="W17" s="51">
        <f ca="1" t="shared" si="1"/>
        <v>0</v>
      </c>
      <c r="X17" s="316" t="str">
        <f ca="1" t="shared" si="3"/>
        <v>事假 8小时(04/10 09:00-04/10 18:30),18日离职</v>
      </c>
    </row>
    <row r="18" customHeight="1" spans="1:24">
      <c r="A18" s="402" t="s">
        <v>60</v>
      </c>
      <c r="B18" s="400" t="s">
        <v>61</v>
      </c>
      <c r="C18" s="370">
        <v>4</v>
      </c>
      <c r="D18" s="370" t="s">
        <v>27</v>
      </c>
      <c r="E18" s="370" t="s">
        <v>57</v>
      </c>
      <c r="G18" s="51">
        <f ca="1" t="shared" ref="G18:V18" si="17">VLOOKUP($B18,INDIRECT($D18&amp;"!$AG$1:$AY$66"),MATCH(G$1,INDIRECT($D18&amp;"!$AG$1:$AY$1"),0),0)</f>
        <v>24</v>
      </c>
      <c r="H18" s="51">
        <f ca="1" t="shared" si="17"/>
        <v>15</v>
      </c>
      <c r="I18" s="51">
        <f ca="1" t="shared" si="17"/>
        <v>0</v>
      </c>
      <c r="J18" s="51">
        <f ca="1" t="shared" si="17"/>
        <v>0</v>
      </c>
      <c r="K18" s="51">
        <f ca="1" t="shared" si="17"/>
        <v>0</v>
      </c>
      <c r="L18" s="51">
        <f ca="1" t="shared" si="17"/>
        <v>0</v>
      </c>
      <c r="M18" s="51">
        <f ca="1" t="shared" si="17"/>
        <v>0</v>
      </c>
      <c r="N18" s="51">
        <f ca="1" t="shared" si="17"/>
        <v>0</v>
      </c>
      <c r="O18" s="51">
        <f ca="1" t="shared" si="17"/>
        <v>0</v>
      </c>
      <c r="P18" s="51">
        <f ca="1" t="shared" si="17"/>
        <v>0</v>
      </c>
      <c r="Q18" s="51">
        <f ca="1" t="shared" si="17"/>
        <v>0</v>
      </c>
      <c r="R18" s="51">
        <f ca="1" t="shared" si="17"/>
        <v>0</v>
      </c>
      <c r="S18" s="51">
        <f ca="1" t="shared" si="17"/>
        <v>0</v>
      </c>
      <c r="T18" s="51">
        <f ca="1" t="shared" si="17"/>
        <v>0</v>
      </c>
      <c r="U18" s="51">
        <f ca="1" t="shared" si="17"/>
        <v>15</v>
      </c>
      <c r="V18" s="51">
        <f ca="1" t="shared" si="17"/>
        <v>0</v>
      </c>
      <c r="W18" s="51">
        <f ca="1" t="shared" si="1"/>
        <v>0</v>
      </c>
      <c r="X18" s="316" t="str">
        <f ca="1" t="shared" si="3"/>
        <v>13日入职</v>
      </c>
    </row>
    <row r="19" s="349" customFormat="1" ht="22" customHeight="1" spans="1:24">
      <c r="A19" s="370" t="s">
        <v>62</v>
      </c>
      <c r="B19" s="285" t="s">
        <v>63</v>
      </c>
      <c r="C19" s="370">
        <v>4</v>
      </c>
      <c r="D19" s="370" t="s">
        <v>27</v>
      </c>
      <c r="E19" s="370" t="s">
        <v>64</v>
      </c>
      <c r="F19" s="371">
        <v>43781</v>
      </c>
      <c r="G19" s="51">
        <f ca="1" t="shared" ref="G19:V19" si="18">VLOOKUP($B19,INDIRECT($D19&amp;"!$AG$1:$AY$66"),MATCH(G$1,INDIRECT($D19&amp;"!$AG$1:$AY$1"),0),0)</f>
        <v>24</v>
      </c>
      <c r="H19" s="51">
        <f ca="1" t="shared" si="18"/>
        <v>23</v>
      </c>
      <c r="I19" s="51">
        <f ca="1" t="shared" si="18"/>
        <v>1</v>
      </c>
      <c r="J19" s="51">
        <f ca="1" t="shared" si="18"/>
        <v>2</v>
      </c>
      <c r="K19" s="51">
        <f ca="1" t="shared" si="18"/>
        <v>0</v>
      </c>
      <c r="L19" s="51">
        <f ca="1" t="shared" si="18"/>
        <v>0</v>
      </c>
      <c r="M19" s="51">
        <f ca="1" t="shared" si="18"/>
        <v>0</v>
      </c>
      <c r="N19" s="51">
        <f ca="1" t="shared" si="18"/>
        <v>0</v>
      </c>
      <c r="O19" s="51">
        <f ca="1" t="shared" si="18"/>
        <v>0</v>
      </c>
      <c r="P19" s="51">
        <f ca="1" t="shared" si="18"/>
        <v>0</v>
      </c>
      <c r="Q19" s="51">
        <f ca="1" t="shared" si="18"/>
        <v>0</v>
      </c>
      <c r="R19" s="51">
        <f ca="1" t="shared" si="18"/>
        <v>0</v>
      </c>
      <c r="S19" s="51">
        <f ca="1" t="shared" si="18"/>
        <v>0</v>
      </c>
      <c r="T19" s="51">
        <f ca="1" t="shared" si="18"/>
        <v>1</v>
      </c>
      <c r="U19" s="51">
        <f ca="1" t="shared" si="18"/>
        <v>24</v>
      </c>
      <c r="V19" s="51">
        <f ca="1" t="shared" si="18"/>
        <v>0</v>
      </c>
      <c r="W19" s="51">
        <f ca="1" t="shared" si="1"/>
        <v>0</v>
      </c>
      <c r="X19" s="316" t="str">
        <f ca="1" t="shared" si="3"/>
        <v>缺卡2次，迟到1分钟</v>
      </c>
    </row>
    <row r="20" s="349" customFormat="1" ht="22" customHeight="1" spans="1:24">
      <c r="A20" s="401" t="s">
        <v>65</v>
      </c>
      <c r="B20" s="288" t="s">
        <v>66</v>
      </c>
      <c r="C20" s="370">
        <v>4</v>
      </c>
      <c r="D20" s="370" t="s">
        <v>27</v>
      </c>
      <c r="E20" s="370" t="s">
        <v>64</v>
      </c>
      <c r="F20" s="371">
        <v>46096</v>
      </c>
      <c r="G20" s="51">
        <f ca="1" t="shared" ref="G20:V20" si="19">VLOOKUP($B20,INDIRECT($D20&amp;"!$AG$1:$AY$66"),MATCH(G$1,INDIRECT($D20&amp;"!$AG$1:$AY$1"),0),0)</f>
        <v>24</v>
      </c>
      <c r="H20" s="51">
        <f ca="1" t="shared" si="19"/>
        <v>23</v>
      </c>
      <c r="I20" s="51">
        <f ca="1" t="shared" si="19"/>
        <v>0</v>
      </c>
      <c r="J20" s="51">
        <f ca="1" t="shared" si="19"/>
        <v>0</v>
      </c>
      <c r="K20" s="51">
        <f ca="1" t="shared" si="19"/>
        <v>0</v>
      </c>
      <c r="L20" s="51">
        <f ca="1" t="shared" si="19"/>
        <v>0</v>
      </c>
      <c r="M20" s="51">
        <f ca="1" t="shared" si="19"/>
        <v>0</v>
      </c>
      <c r="N20" s="51">
        <f ca="1" t="shared" si="19"/>
        <v>0</v>
      </c>
      <c r="O20" s="51">
        <f ca="1" t="shared" si="19"/>
        <v>0</v>
      </c>
      <c r="P20" s="51">
        <f ca="1" t="shared" si="19"/>
        <v>0</v>
      </c>
      <c r="Q20" s="51">
        <f ca="1" t="shared" si="19"/>
        <v>0</v>
      </c>
      <c r="R20" s="51">
        <f ca="1" t="shared" si="19"/>
        <v>0</v>
      </c>
      <c r="S20" s="51">
        <f ca="1" t="shared" si="19"/>
        <v>0</v>
      </c>
      <c r="T20" s="51">
        <f ca="1" t="shared" si="19"/>
        <v>1</v>
      </c>
      <c r="U20" s="51">
        <f ca="1" t="shared" si="19"/>
        <v>24</v>
      </c>
      <c r="V20" s="51">
        <f ca="1" t="shared" si="19"/>
        <v>0</v>
      </c>
      <c r="W20" s="51">
        <f ca="1" t="shared" si="1"/>
        <v>200</v>
      </c>
      <c r="X20" s="316" t="str">
        <f ca="1" t="shared" si="3"/>
        <v>全勤</v>
      </c>
    </row>
    <row r="21" s="349" customFormat="1" ht="22" customHeight="1" spans="1:24">
      <c r="A21" s="370" t="s">
        <v>67</v>
      </c>
      <c r="B21" s="285" t="s">
        <v>68</v>
      </c>
      <c r="C21" s="370">
        <v>4</v>
      </c>
      <c r="D21" s="370" t="s">
        <v>27</v>
      </c>
      <c r="E21" s="370" t="s">
        <v>69</v>
      </c>
      <c r="F21" s="371">
        <v>45848</v>
      </c>
      <c r="G21" s="51">
        <f ca="1" t="shared" ref="G21:V21" si="20">VLOOKUP($B21,INDIRECT($D21&amp;"!$AG$1:$AY$66"),MATCH(G$1,INDIRECT($D21&amp;"!$AG$1:$AY$1"),0),0)</f>
        <v>24</v>
      </c>
      <c r="H21" s="51">
        <f ca="1" t="shared" si="20"/>
        <v>23</v>
      </c>
      <c r="I21" s="51">
        <f ca="1" t="shared" si="20"/>
        <v>0</v>
      </c>
      <c r="J21" s="51">
        <f ca="1" t="shared" si="20"/>
        <v>0</v>
      </c>
      <c r="K21" s="51">
        <f ca="1" t="shared" si="20"/>
        <v>0</v>
      </c>
      <c r="L21" s="51">
        <f ca="1" t="shared" si="20"/>
        <v>0</v>
      </c>
      <c r="M21" s="51">
        <f ca="1" t="shared" si="20"/>
        <v>0</v>
      </c>
      <c r="N21" s="51">
        <f ca="1" t="shared" si="20"/>
        <v>0</v>
      </c>
      <c r="O21" s="51">
        <f ca="1" t="shared" si="20"/>
        <v>0</v>
      </c>
      <c r="P21" s="51">
        <f ca="1" t="shared" si="20"/>
        <v>0</v>
      </c>
      <c r="Q21" s="51">
        <f ca="1" t="shared" si="20"/>
        <v>0</v>
      </c>
      <c r="R21" s="51">
        <f ca="1" t="shared" si="20"/>
        <v>0</v>
      </c>
      <c r="S21" s="51">
        <f ca="1" t="shared" si="20"/>
        <v>0</v>
      </c>
      <c r="T21" s="51">
        <f ca="1" t="shared" si="20"/>
        <v>1</v>
      </c>
      <c r="U21" s="51">
        <f ca="1" t="shared" si="20"/>
        <v>24</v>
      </c>
      <c r="V21" s="51">
        <f ca="1" t="shared" si="20"/>
        <v>0</v>
      </c>
      <c r="W21" s="51">
        <f ca="1" t="shared" si="1"/>
        <v>200</v>
      </c>
      <c r="X21" s="316" t="str">
        <f ca="1" t="shared" si="3"/>
        <v>全勤</v>
      </c>
    </row>
    <row r="22" s="349" customFormat="1" ht="22" customHeight="1" spans="1:24">
      <c r="A22" s="401" t="s">
        <v>70</v>
      </c>
      <c r="B22" s="51" t="s">
        <v>71</v>
      </c>
      <c r="C22" s="370">
        <v>4</v>
      </c>
      <c r="D22" s="370" t="s">
        <v>27</v>
      </c>
      <c r="E22" s="370" t="s">
        <v>69</v>
      </c>
      <c r="F22" s="371"/>
      <c r="G22" s="51">
        <f ca="1" t="shared" ref="G22:V22" si="21">VLOOKUP($B22,INDIRECT($D22&amp;"!$AG$1:$AY$66"),MATCH(G$1,INDIRECT($D22&amp;"!$AG$1:$AY$1"),0),0)</f>
        <v>24</v>
      </c>
      <c r="H22" s="51">
        <f ca="1" t="shared" si="21"/>
        <v>21.56</v>
      </c>
      <c r="I22" s="51">
        <f ca="1" t="shared" si="21"/>
        <v>0</v>
      </c>
      <c r="J22" s="51">
        <f ca="1" t="shared" si="21"/>
        <v>0</v>
      </c>
      <c r="K22" s="51">
        <f ca="1" t="shared" si="21"/>
        <v>0</v>
      </c>
      <c r="L22" s="51">
        <f ca="1" t="shared" si="21"/>
        <v>1.44</v>
      </c>
      <c r="M22" s="51">
        <f ca="1" t="shared" si="21"/>
        <v>0</v>
      </c>
      <c r="N22" s="51">
        <f ca="1" t="shared" si="21"/>
        <v>0</v>
      </c>
      <c r="O22" s="51">
        <f ca="1" t="shared" si="21"/>
        <v>0</v>
      </c>
      <c r="P22" s="51">
        <f ca="1" t="shared" si="21"/>
        <v>0</v>
      </c>
      <c r="Q22" s="51">
        <f ca="1" t="shared" si="21"/>
        <v>0</v>
      </c>
      <c r="R22" s="51">
        <f ca="1" t="shared" si="21"/>
        <v>0</v>
      </c>
      <c r="S22" s="51">
        <f ca="1" t="shared" si="21"/>
        <v>0</v>
      </c>
      <c r="T22" s="51">
        <f ca="1" t="shared" si="21"/>
        <v>1</v>
      </c>
      <c r="U22" s="51">
        <f ca="1" t="shared" si="21"/>
        <v>22.56</v>
      </c>
      <c r="V22" s="51">
        <f ca="1" t="shared" si="21"/>
        <v>0</v>
      </c>
      <c r="W22" s="51">
        <f ca="1" t="shared" si="1"/>
        <v>0</v>
      </c>
      <c r="X22" s="316" t="str">
        <f ca="1" t="shared" si="3"/>
        <v>事假 3.5小时(04/07 09:00-04/07 12:30);事假 8小时(04/16 09:00-04/16 18:30)</v>
      </c>
    </row>
    <row r="23" s="349" customFormat="1" ht="22" customHeight="1" spans="1:24">
      <c r="A23" s="401" t="s">
        <v>72</v>
      </c>
      <c r="B23" s="51" t="s">
        <v>73</v>
      </c>
      <c r="C23" s="370">
        <v>4</v>
      </c>
      <c r="D23" s="370" t="s">
        <v>27</v>
      </c>
      <c r="E23" s="370" t="s">
        <v>69</v>
      </c>
      <c r="F23" s="371"/>
      <c r="G23" s="51">
        <f ca="1" t="shared" ref="G23:V23" si="22">VLOOKUP($B23,INDIRECT($D23&amp;"!$AG$1:$AY$66"),MATCH(G$1,INDIRECT($D23&amp;"!$AG$1:$AY$1"),0),0)</f>
        <v>24</v>
      </c>
      <c r="H23" s="51">
        <f ca="1" t="shared" si="22"/>
        <v>23</v>
      </c>
      <c r="I23" s="51">
        <f ca="1" t="shared" si="22"/>
        <v>0</v>
      </c>
      <c r="J23" s="51">
        <f ca="1" t="shared" si="22"/>
        <v>0</v>
      </c>
      <c r="K23" s="51">
        <f ca="1" t="shared" si="22"/>
        <v>0</v>
      </c>
      <c r="L23" s="51">
        <f ca="1" t="shared" si="22"/>
        <v>0</v>
      </c>
      <c r="M23" s="51">
        <f ca="1" t="shared" si="22"/>
        <v>0</v>
      </c>
      <c r="N23" s="51">
        <f ca="1" t="shared" si="22"/>
        <v>0</v>
      </c>
      <c r="O23" s="51">
        <f ca="1" t="shared" si="22"/>
        <v>0</v>
      </c>
      <c r="P23" s="51">
        <f ca="1" t="shared" si="22"/>
        <v>0</v>
      </c>
      <c r="Q23" s="51">
        <f ca="1" t="shared" si="22"/>
        <v>0</v>
      </c>
      <c r="R23" s="51">
        <f ca="1" t="shared" si="22"/>
        <v>0</v>
      </c>
      <c r="S23" s="51">
        <f ca="1" t="shared" si="22"/>
        <v>0</v>
      </c>
      <c r="T23" s="51">
        <f ca="1" t="shared" si="22"/>
        <v>1</v>
      </c>
      <c r="U23" s="51">
        <f ca="1" t="shared" si="22"/>
        <v>24</v>
      </c>
      <c r="V23" s="51">
        <f ca="1" t="shared" si="22"/>
        <v>0</v>
      </c>
      <c r="W23" s="51">
        <f ca="1" t="shared" si="1"/>
        <v>200</v>
      </c>
      <c r="X23" s="316" t="str">
        <f ca="1" t="shared" si="3"/>
        <v>全勤</v>
      </c>
    </row>
    <row r="24" s="349" customFormat="1" ht="22" customHeight="1" spans="1:24">
      <c r="A24" s="370" t="s">
        <v>74</v>
      </c>
      <c r="B24" s="285" t="s">
        <v>75</v>
      </c>
      <c r="C24" s="370">
        <v>4</v>
      </c>
      <c r="D24" s="370" t="s">
        <v>27</v>
      </c>
      <c r="E24" s="370" t="s">
        <v>76</v>
      </c>
      <c r="F24" s="371">
        <v>44696</v>
      </c>
      <c r="G24" s="51">
        <f ca="1" t="shared" ref="G24:V24" si="23">VLOOKUP($B24,INDIRECT($D24&amp;"!$AG$1:$AY$66"),MATCH(G$1,INDIRECT($D24&amp;"!$AG$1:$AY$1"),0),0)</f>
        <v>24</v>
      </c>
      <c r="H24" s="51">
        <f ca="1" t="shared" si="23"/>
        <v>23</v>
      </c>
      <c r="I24" s="51">
        <f ca="1" t="shared" si="23"/>
        <v>0</v>
      </c>
      <c r="J24" s="51">
        <f ca="1" t="shared" si="23"/>
        <v>0</v>
      </c>
      <c r="K24" s="51">
        <f ca="1" t="shared" si="23"/>
        <v>0</v>
      </c>
      <c r="L24" s="51">
        <f ca="1" t="shared" si="23"/>
        <v>0</v>
      </c>
      <c r="M24" s="51">
        <f ca="1" t="shared" si="23"/>
        <v>0</v>
      </c>
      <c r="N24" s="51">
        <f ca="1" t="shared" si="23"/>
        <v>0</v>
      </c>
      <c r="O24" s="51">
        <f ca="1" t="shared" si="23"/>
        <v>0</v>
      </c>
      <c r="P24" s="51">
        <f ca="1" t="shared" si="23"/>
        <v>0</v>
      </c>
      <c r="Q24" s="51">
        <f ca="1" t="shared" si="23"/>
        <v>0</v>
      </c>
      <c r="R24" s="51">
        <f ca="1" t="shared" si="23"/>
        <v>0</v>
      </c>
      <c r="S24" s="51">
        <f ca="1" t="shared" si="23"/>
        <v>0</v>
      </c>
      <c r="T24" s="51">
        <f ca="1" t="shared" si="23"/>
        <v>1</v>
      </c>
      <c r="U24" s="51">
        <f ca="1" t="shared" si="23"/>
        <v>24</v>
      </c>
      <c r="V24" s="51">
        <f ca="1" t="shared" si="23"/>
        <v>0</v>
      </c>
      <c r="W24" s="51">
        <f ca="1" t="shared" si="1"/>
        <v>200</v>
      </c>
      <c r="X24" s="316" t="str">
        <f ca="1" t="shared" si="3"/>
        <v>全勤，加班 4.5小时后调休(04/11 14:00-04/11 18:30)</v>
      </c>
    </row>
    <row r="25" s="349" customFormat="1" ht="22" customHeight="1" spans="1:24">
      <c r="A25" s="370" t="s">
        <v>77</v>
      </c>
      <c r="B25" s="285" t="s">
        <v>78</v>
      </c>
      <c r="C25" s="370">
        <v>4</v>
      </c>
      <c r="D25" s="370" t="s">
        <v>27</v>
      </c>
      <c r="E25" s="370" t="s">
        <v>76</v>
      </c>
      <c r="F25" s="371">
        <v>44958</v>
      </c>
      <c r="G25" s="51">
        <f ca="1" t="shared" ref="G25:V25" si="24">VLOOKUP($B25,INDIRECT($D25&amp;"!$AG$1:$AY$66"),MATCH(G$1,INDIRECT($D25&amp;"!$AG$1:$AY$1"),0),0)</f>
        <v>24</v>
      </c>
      <c r="H25" s="51">
        <f ca="1" t="shared" si="24"/>
        <v>22</v>
      </c>
      <c r="I25" s="51">
        <f ca="1" t="shared" si="24"/>
        <v>0</v>
      </c>
      <c r="J25" s="51">
        <f ca="1" t="shared" si="24"/>
        <v>0</v>
      </c>
      <c r="K25" s="51">
        <f ca="1" t="shared" si="24"/>
        <v>0</v>
      </c>
      <c r="L25" s="51">
        <f ca="1" t="shared" si="24"/>
        <v>0</v>
      </c>
      <c r="M25" s="51">
        <f ca="1" t="shared" si="24"/>
        <v>1</v>
      </c>
      <c r="N25" s="51">
        <f ca="1" t="shared" si="24"/>
        <v>0</v>
      </c>
      <c r="O25" s="51">
        <f ca="1" t="shared" si="24"/>
        <v>0</v>
      </c>
      <c r="P25" s="51">
        <f ca="1" t="shared" si="24"/>
        <v>0</v>
      </c>
      <c r="Q25" s="51">
        <f ca="1" t="shared" si="24"/>
        <v>0</v>
      </c>
      <c r="R25" s="51">
        <f ca="1" t="shared" si="24"/>
        <v>0</v>
      </c>
      <c r="S25" s="51">
        <f ca="1" t="shared" si="24"/>
        <v>0</v>
      </c>
      <c r="T25" s="51">
        <f ca="1" t="shared" si="24"/>
        <v>1</v>
      </c>
      <c r="U25" s="51">
        <f ca="1" t="shared" si="24"/>
        <v>24</v>
      </c>
      <c r="V25" s="51">
        <f ca="1" t="shared" si="24"/>
        <v>0</v>
      </c>
      <c r="W25" s="51">
        <f ca="1" t="shared" si="1"/>
        <v>200</v>
      </c>
      <c r="X25" s="316" t="str">
        <f ca="1" t="shared" si="3"/>
        <v>全勤，年假 8小时(04/18 09:00-04/18 18:30)</v>
      </c>
    </row>
    <row r="26" s="349" customFormat="1" ht="22" customHeight="1" spans="1:24">
      <c r="A26" s="370" t="s">
        <v>79</v>
      </c>
      <c r="B26" s="376" t="s">
        <v>80</v>
      </c>
      <c r="C26" s="370">
        <v>4</v>
      </c>
      <c r="D26" s="370" t="s">
        <v>27</v>
      </c>
      <c r="E26" s="370" t="s">
        <v>76</v>
      </c>
      <c r="F26" s="371">
        <v>45597</v>
      </c>
      <c r="G26" s="51">
        <f ca="1" t="shared" ref="G26:V26" si="25">VLOOKUP($B26,INDIRECT($D26&amp;"!$AG$1:$AY$66"),MATCH(G$1,INDIRECT($D26&amp;"!$AG$1:$AY$1"),0),0)</f>
        <v>24</v>
      </c>
      <c r="H26" s="51">
        <f ca="1" t="shared" si="25"/>
        <v>18</v>
      </c>
      <c r="I26" s="51">
        <f ca="1" t="shared" si="25"/>
        <v>0</v>
      </c>
      <c r="J26" s="51">
        <f ca="1" t="shared" si="25"/>
        <v>0</v>
      </c>
      <c r="K26" s="51">
        <f ca="1" t="shared" si="25"/>
        <v>0</v>
      </c>
      <c r="L26" s="51">
        <f ca="1" t="shared" si="25"/>
        <v>0</v>
      </c>
      <c r="M26" s="51">
        <f ca="1" t="shared" si="25"/>
        <v>1</v>
      </c>
      <c r="N26" s="51">
        <f ca="1" t="shared" si="25"/>
        <v>0</v>
      </c>
      <c r="O26" s="51">
        <f ca="1" t="shared" si="25"/>
        <v>0</v>
      </c>
      <c r="P26" s="51">
        <f ca="1" t="shared" si="25"/>
        <v>0</v>
      </c>
      <c r="Q26" s="51">
        <f ca="1" t="shared" si="25"/>
        <v>5</v>
      </c>
      <c r="R26" s="51">
        <f ca="1" t="shared" si="25"/>
        <v>0</v>
      </c>
      <c r="S26" s="51">
        <f ca="1" t="shared" si="25"/>
        <v>0</v>
      </c>
      <c r="T26" s="51">
        <f ca="1" t="shared" si="25"/>
        <v>0</v>
      </c>
      <c r="U26" s="51">
        <f ca="1" t="shared" si="25"/>
        <v>19</v>
      </c>
      <c r="V26" s="51">
        <f ca="1" t="shared" si="25"/>
        <v>0</v>
      </c>
      <c r="W26" s="51">
        <f ca="1" t="shared" si="1"/>
        <v>0</v>
      </c>
      <c r="X26" s="316" t="str">
        <f ca="1" t="shared" si="3"/>
        <v>本月1-5号产假共5天;年假 8小时(04/23 09:00-04/23 18:30)，按人力行政制度哺乳未满1周岁的孩童每天享有1小时哺乳假。</v>
      </c>
    </row>
    <row r="27" s="349" customFormat="1" ht="22" customHeight="1" spans="1:24">
      <c r="A27" s="370" t="s">
        <v>81</v>
      </c>
      <c r="B27" s="375" t="s">
        <v>82</v>
      </c>
      <c r="C27" s="370">
        <v>4</v>
      </c>
      <c r="D27" s="370" t="s">
        <v>27</v>
      </c>
      <c r="E27" s="370" t="s">
        <v>83</v>
      </c>
      <c r="F27" s="371">
        <v>45169</v>
      </c>
      <c r="G27" s="51">
        <f ca="1" t="shared" ref="G27:V27" si="26">VLOOKUP($B27,INDIRECT($D27&amp;"!$AG$1:$AY$66"),MATCH(G$1,INDIRECT($D27&amp;"!$AG$1:$AY$1"),0),0)</f>
        <v>24</v>
      </c>
      <c r="H27" s="51">
        <f ca="1" t="shared" si="26"/>
        <v>22</v>
      </c>
      <c r="I27" s="51">
        <f ca="1" t="shared" si="26"/>
        <v>0</v>
      </c>
      <c r="J27" s="51">
        <f ca="1" t="shared" si="26"/>
        <v>0</v>
      </c>
      <c r="K27" s="51">
        <f ca="1" t="shared" si="26"/>
        <v>0</v>
      </c>
      <c r="L27" s="51">
        <f ca="1" t="shared" si="26"/>
        <v>1</v>
      </c>
      <c r="M27" s="51">
        <f ca="1" t="shared" si="26"/>
        <v>0</v>
      </c>
      <c r="N27" s="51">
        <f ca="1" t="shared" si="26"/>
        <v>0</v>
      </c>
      <c r="O27" s="51">
        <f ca="1" t="shared" si="26"/>
        <v>0</v>
      </c>
      <c r="P27" s="51">
        <f ca="1" t="shared" si="26"/>
        <v>0</v>
      </c>
      <c r="Q27" s="51">
        <f ca="1" t="shared" si="26"/>
        <v>0</v>
      </c>
      <c r="R27" s="51">
        <f ca="1" t="shared" si="26"/>
        <v>0</v>
      </c>
      <c r="S27" s="51">
        <f ca="1" t="shared" si="26"/>
        <v>0</v>
      </c>
      <c r="T27" s="51">
        <f ca="1" t="shared" si="26"/>
        <v>1</v>
      </c>
      <c r="U27" s="51">
        <f ca="1" t="shared" si="26"/>
        <v>23</v>
      </c>
      <c r="V27" s="51">
        <f ca="1" t="shared" si="26"/>
        <v>0</v>
      </c>
      <c r="W27" s="51">
        <f ca="1" t="shared" si="1"/>
        <v>0</v>
      </c>
      <c r="X27" s="316" t="str">
        <f ca="1" t="shared" si="3"/>
        <v>事假 8小时(04/24 09:00-04/24 18:30)，30日离职</v>
      </c>
    </row>
    <row r="28" s="349" customFormat="1" ht="22" customHeight="1" spans="1:24">
      <c r="A28" s="370" t="s">
        <v>84</v>
      </c>
      <c r="B28" s="285" t="s">
        <v>85</v>
      </c>
      <c r="C28" s="370">
        <v>4</v>
      </c>
      <c r="D28" s="370" t="s">
        <v>27</v>
      </c>
      <c r="E28" s="370" t="s">
        <v>83</v>
      </c>
      <c r="F28" s="371">
        <v>45486</v>
      </c>
      <c r="G28" s="51">
        <f ca="1" t="shared" ref="G28:V28" si="27">VLOOKUP($B28,INDIRECT($D28&amp;"!$AG$1:$AY$66"),MATCH(G$1,INDIRECT($D28&amp;"!$AG$1:$AY$1"),0),0)</f>
        <v>24</v>
      </c>
      <c r="H28" s="51">
        <f ca="1" t="shared" si="27"/>
        <v>22</v>
      </c>
      <c r="I28" s="51">
        <f ca="1" t="shared" si="27"/>
        <v>0</v>
      </c>
      <c r="J28" s="51">
        <f ca="1" t="shared" si="27"/>
        <v>0</v>
      </c>
      <c r="K28" s="51">
        <f ca="1" t="shared" si="27"/>
        <v>0</v>
      </c>
      <c r="L28" s="51">
        <f ca="1" t="shared" si="27"/>
        <v>0</v>
      </c>
      <c r="M28" s="51">
        <f ca="1" t="shared" si="27"/>
        <v>1</v>
      </c>
      <c r="N28" s="51">
        <f ca="1" t="shared" si="27"/>
        <v>0</v>
      </c>
      <c r="O28" s="51">
        <f ca="1" t="shared" si="27"/>
        <v>0</v>
      </c>
      <c r="P28" s="51">
        <f ca="1" t="shared" si="27"/>
        <v>0</v>
      </c>
      <c r="Q28" s="51">
        <f ca="1" t="shared" si="27"/>
        <v>0</v>
      </c>
      <c r="R28" s="51">
        <f ca="1" t="shared" si="27"/>
        <v>0</v>
      </c>
      <c r="S28" s="51">
        <f ca="1" t="shared" si="27"/>
        <v>0</v>
      </c>
      <c r="T28" s="51">
        <f ca="1" t="shared" si="27"/>
        <v>1</v>
      </c>
      <c r="U28" s="51">
        <f ca="1" t="shared" si="27"/>
        <v>24</v>
      </c>
      <c r="V28" s="51">
        <f ca="1" t="shared" si="27"/>
        <v>0</v>
      </c>
      <c r="W28" s="51">
        <f ca="1" t="shared" si="1"/>
        <v>200</v>
      </c>
      <c r="X28" s="316" t="str">
        <f ca="1" t="shared" si="3"/>
        <v>全勤，年假 8小时(04/22 09:00-04/22 18:30)</v>
      </c>
    </row>
    <row r="29" s="349" customFormat="1" ht="22" customHeight="1" spans="1:24">
      <c r="A29" s="401" t="s">
        <v>86</v>
      </c>
      <c r="B29" s="285" t="s">
        <v>87</v>
      </c>
      <c r="C29" s="370">
        <v>4</v>
      </c>
      <c r="D29" s="370" t="s">
        <v>27</v>
      </c>
      <c r="E29" s="370" t="s">
        <v>88</v>
      </c>
      <c r="F29" s="371">
        <v>43577</v>
      </c>
      <c r="G29" s="51">
        <f ca="1" t="shared" ref="G29:V29" si="28">VLOOKUP($B29,INDIRECT($D29&amp;"!$AG$1:$AY$66"),MATCH(G$1,INDIRECT($D29&amp;"!$AG$1:$AY$1"),0),0)</f>
        <v>24</v>
      </c>
      <c r="H29" s="51">
        <f ca="1" t="shared" si="28"/>
        <v>22</v>
      </c>
      <c r="I29" s="51">
        <f ca="1" t="shared" si="28"/>
        <v>0</v>
      </c>
      <c r="J29" s="51">
        <f ca="1" t="shared" si="28"/>
        <v>0</v>
      </c>
      <c r="K29" s="51">
        <f ca="1" t="shared" si="28"/>
        <v>0</v>
      </c>
      <c r="L29" s="51">
        <f ca="1" t="shared" si="28"/>
        <v>0</v>
      </c>
      <c r="M29" s="51">
        <f ca="1" t="shared" si="28"/>
        <v>1</v>
      </c>
      <c r="N29" s="51">
        <f ca="1" t="shared" si="28"/>
        <v>0</v>
      </c>
      <c r="O29" s="51">
        <f ca="1" t="shared" si="28"/>
        <v>0</v>
      </c>
      <c r="P29" s="51">
        <f ca="1" t="shared" si="28"/>
        <v>0</v>
      </c>
      <c r="Q29" s="51">
        <f ca="1" t="shared" si="28"/>
        <v>0</v>
      </c>
      <c r="R29" s="51">
        <f ca="1" t="shared" si="28"/>
        <v>0</v>
      </c>
      <c r="S29" s="51">
        <f ca="1" t="shared" si="28"/>
        <v>0</v>
      </c>
      <c r="T29" s="51">
        <f ca="1" t="shared" si="28"/>
        <v>1</v>
      </c>
      <c r="U29" s="51">
        <f ca="1" t="shared" si="28"/>
        <v>24</v>
      </c>
      <c r="V29" s="51">
        <f ca="1" t="shared" si="28"/>
        <v>0</v>
      </c>
      <c r="W29" s="51">
        <f ca="1" t="shared" si="1"/>
        <v>200</v>
      </c>
      <c r="X29" s="316" t="str">
        <f ca="1" t="shared" si="3"/>
        <v>全勤，年假 8小时(04/20 09:00-04/20 18:30)</v>
      </c>
    </row>
    <row r="30" s="349" customFormat="1" ht="22" customHeight="1" spans="1:24">
      <c r="A30" s="370" t="s">
        <v>89</v>
      </c>
      <c r="B30" s="376" t="s">
        <v>90</v>
      </c>
      <c r="C30" s="370">
        <v>4</v>
      </c>
      <c r="D30" s="370" t="s">
        <v>27</v>
      </c>
      <c r="E30" s="370" t="s">
        <v>88</v>
      </c>
      <c r="F30" s="371">
        <v>45627</v>
      </c>
      <c r="G30" s="51">
        <f ca="1" t="shared" ref="G30:V30" si="29">VLOOKUP($B30,INDIRECT($D30&amp;"!$AG$1:$AY$66"),MATCH(G$1,INDIRECT($D30&amp;"!$AG$1:$AY$1"),0),0)</f>
        <v>24</v>
      </c>
      <c r="H30" s="51">
        <f ca="1" t="shared" si="29"/>
        <v>0</v>
      </c>
      <c r="I30" s="51">
        <f ca="1" t="shared" si="29"/>
        <v>0</v>
      </c>
      <c r="J30" s="51">
        <f ca="1" t="shared" si="29"/>
        <v>0</v>
      </c>
      <c r="K30" s="51">
        <f ca="1" t="shared" si="29"/>
        <v>0</v>
      </c>
      <c r="L30" s="51">
        <f ca="1" t="shared" si="29"/>
        <v>0</v>
      </c>
      <c r="M30" s="51">
        <f ca="1" t="shared" si="29"/>
        <v>0</v>
      </c>
      <c r="N30" s="51">
        <f ca="1" t="shared" si="29"/>
        <v>0</v>
      </c>
      <c r="O30" s="51">
        <f ca="1" t="shared" si="29"/>
        <v>0</v>
      </c>
      <c r="P30" s="51">
        <f ca="1" t="shared" si="29"/>
        <v>0</v>
      </c>
      <c r="Q30" s="51">
        <f ca="1" t="shared" si="29"/>
        <v>24</v>
      </c>
      <c r="R30" s="51">
        <f ca="1" t="shared" si="29"/>
        <v>0</v>
      </c>
      <c r="S30" s="51">
        <f ca="1" t="shared" si="29"/>
        <v>0</v>
      </c>
      <c r="T30" s="51">
        <f ca="1" t="shared" si="29"/>
        <v>0</v>
      </c>
      <c r="U30" s="51">
        <f ca="1" t="shared" si="29"/>
        <v>0</v>
      </c>
      <c r="V30" s="51">
        <f ca="1" t="shared" si="29"/>
        <v>0</v>
      </c>
      <c r="W30" s="51">
        <f ca="1" t="shared" si="1"/>
        <v>0</v>
      </c>
      <c r="X30" s="316" t="str">
        <f ca="1" t="shared" si="3"/>
        <v>产假 178天(01/05 上午-07/01 下午)</v>
      </c>
    </row>
    <row r="31" s="349" customFormat="1" ht="22" customHeight="1" spans="1:24">
      <c r="A31" s="370" t="s">
        <v>91</v>
      </c>
      <c r="B31" s="285" t="s">
        <v>92</v>
      </c>
      <c r="C31" s="370">
        <v>4</v>
      </c>
      <c r="D31" s="370" t="s">
        <v>27</v>
      </c>
      <c r="E31" s="370" t="s">
        <v>88</v>
      </c>
      <c r="F31" s="371">
        <v>45901</v>
      </c>
      <c r="G31" s="51">
        <f ca="1" t="shared" ref="G31:V31" si="30">VLOOKUP($B31,INDIRECT($D31&amp;"!$AG$1:$AY$66"),MATCH(G$1,INDIRECT($D31&amp;"!$AG$1:$AY$1"),0),0)</f>
        <v>24</v>
      </c>
      <c r="H31" s="51">
        <f ca="1" t="shared" si="30"/>
        <v>23</v>
      </c>
      <c r="I31" s="51">
        <f ca="1" t="shared" si="30"/>
        <v>0</v>
      </c>
      <c r="J31" s="51">
        <f ca="1" t="shared" si="30"/>
        <v>0</v>
      </c>
      <c r="K31" s="51">
        <f ca="1" t="shared" si="30"/>
        <v>0</v>
      </c>
      <c r="L31" s="51">
        <f ca="1" t="shared" si="30"/>
        <v>0</v>
      </c>
      <c r="M31" s="51">
        <f ca="1" t="shared" si="30"/>
        <v>0</v>
      </c>
      <c r="N31" s="51">
        <f ca="1" t="shared" si="30"/>
        <v>0</v>
      </c>
      <c r="O31" s="51">
        <f ca="1" t="shared" si="30"/>
        <v>0</v>
      </c>
      <c r="P31" s="51">
        <f ca="1" t="shared" si="30"/>
        <v>0</v>
      </c>
      <c r="Q31" s="51">
        <f ca="1" t="shared" si="30"/>
        <v>0</v>
      </c>
      <c r="R31" s="51">
        <f ca="1" t="shared" si="30"/>
        <v>0</v>
      </c>
      <c r="S31" s="51">
        <f ca="1" t="shared" si="30"/>
        <v>0</v>
      </c>
      <c r="T31" s="51">
        <f ca="1" t="shared" si="30"/>
        <v>1</v>
      </c>
      <c r="U31" s="51">
        <f ca="1" t="shared" si="30"/>
        <v>24</v>
      </c>
      <c r="V31" s="51">
        <f ca="1" t="shared" si="30"/>
        <v>0</v>
      </c>
      <c r="W31" s="51">
        <f ca="1" t="shared" si="1"/>
        <v>200</v>
      </c>
      <c r="X31" s="316" t="str">
        <f ca="1" t="shared" si="3"/>
        <v>全勤</v>
      </c>
    </row>
    <row r="32" s="349" customFormat="1" ht="22" customHeight="1" spans="1:24">
      <c r="A32" s="401" t="s">
        <v>93</v>
      </c>
      <c r="B32" s="285" t="s">
        <v>94</v>
      </c>
      <c r="C32" s="370">
        <v>4</v>
      </c>
      <c r="D32" s="370" t="s">
        <v>27</v>
      </c>
      <c r="E32" s="370" t="s">
        <v>88</v>
      </c>
      <c r="F32" s="371">
        <v>46071</v>
      </c>
      <c r="G32" s="51">
        <f ca="1" t="shared" ref="G32:V32" si="31">VLOOKUP($B32,INDIRECT($D32&amp;"!$AG$1:$AY$66"),MATCH(G$1,INDIRECT($D32&amp;"!$AG$1:$AY$1"),0),0)</f>
        <v>24</v>
      </c>
      <c r="H32" s="51">
        <f ca="1" t="shared" si="31"/>
        <v>19</v>
      </c>
      <c r="I32" s="51">
        <f ca="1" t="shared" si="31"/>
        <v>10</v>
      </c>
      <c r="J32" s="51">
        <f ca="1" t="shared" si="31"/>
        <v>1</v>
      </c>
      <c r="K32" s="51">
        <f ca="1" t="shared" si="31"/>
        <v>0</v>
      </c>
      <c r="L32" s="51">
        <f ca="1" t="shared" si="31"/>
        <v>0</v>
      </c>
      <c r="M32" s="51">
        <f ca="1" t="shared" si="31"/>
        <v>0</v>
      </c>
      <c r="N32" s="51">
        <f ca="1" t="shared" si="31"/>
        <v>4</v>
      </c>
      <c r="O32" s="51">
        <f ca="1" t="shared" si="31"/>
        <v>0</v>
      </c>
      <c r="P32" s="51">
        <f ca="1" t="shared" si="31"/>
        <v>0</v>
      </c>
      <c r="Q32" s="51">
        <f ca="1" t="shared" si="31"/>
        <v>0</v>
      </c>
      <c r="R32" s="51">
        <f ca="1" t="shared" si="31"/>
        <v>0</v>
      </c>
      <c r="S32" s="51">
        <f ca="1" t="shared" si="31"/>
        <v>0</v>
      </c>
      <c r="T32" s="51">
        <f ca="1" t="shared" si="31"/>
        <v>1</v>
      </c>
      <c r="U32" s="51">
        <f ca="1" t="shared" si="31"/>
        <v>20</v>
      </c>
      <c r="V32" s="51">
        <f ca="1" t="shared" si="31"/>
        <v>0</v>
      </c>
      <c r="W32" s="51">
        <f ca="1" t="shared" si="1"/>
        <v>0</v>
      </c>
      <c r="X32" s="316" t="str">
        <f ca="1" t="shared" si="3"/>
        <v>病假 32小时(04/01 09:00-04/04 18:30)，缺卡1次，迟到2次共10分钟</v>
      </c>
    </row>
    <row r="33" s="349" customFormat="1" ht="22" customHeight="1" spans="1:24">
      <c r="A33" s="401" t="s">
        <v>95</v>
      </c>
      <c r="B33" s="285" t="s">
        <v>96</v>
      </c>
      <c r="C33" s="370">
        <v>4</v>
      </c>
      <c r="D33" s="370" t="s">
        <v>27</v>
      </c>
      <c r="E33" s="370" t="s">
        <v>83</v>
      </c>
      <c r="F33" s="371">
        <v>46121</v>
      </c>
      <c r="G33" s="51">
        <f ca="1" t="shared" ref="G33:V33" si="32">VLOOKUP($B33,INDIRECT($D33&amp;"!$AG$1:$AY$66"),MATCH(G$1,INDIRECT($D33&amp;"!$AG$1:$AY$1"),0),0)</f>
        <v>24</v>
      </c>
      <c r="H33" s="51">
        <f ca="1" t="shared" si="32"/>
        <v>22</v>
      </c>
      <c r="I33" s="51">
        <f ca="1" t="shared" si="32"/>
        <v>4</v>
      </c>
      <c r="J33" s="51">
        <f ca="1" t="shared" si="32"/>
        <v>0</v>
      </c>
      <c r="K33" s="51">
        <f ca="1" t="shared" si="32"/>
        <v>0</v>
      </c>
      <c r="L33" s="51">
        <f ca="1" t="shared" si="32"/>
        <v>0</v>
      </c>
      <c r="M33" s="51">
        <f ca="1" t="shared" si="32"/>
        <v>0</v>
      </c>
      <c r="N33" s="51">
        <f ca="1" t="shared" si="32"/>
        <v>1</v>
      </c>
      <c r="O33" s="51">
        <f ca="1" t="shared" si="32"/>
        <v>0</v>
      </c>
      <c r="P33" s="51">
        <f ca="1" t="shared" si="32"/>
        <v>0</v>
      </c>
      <c r="Q33" s="51">
        <f ca="1" t="shared" si="32"/>
        <v>0</v>
      </c>
      <c r="R33" s="51">
        <f ca="1" t="shared" si="32"/>
        <v>0</v>
      </c>
      <c r="S33" s="51">
        <f ca="1" t="shared" si="32"/>
        <v>0</v>
      </c>
      <c r="T33" s="51">
        <f ca="1" t="shared" si="32"/>
        <v>1</v>
      </c>
      <c r="U33" s="51">
        <f ca="1" t="shared" si="32"/>
        <v>23</v>
      </c>
      <c r="V33" s="51">
        <f ca="1" t="shared" si="32"/>
        <v>0</v>
      </c>
      <c r="W33" s="51">
        <f ca="1" t="shared" si="1"/>
        <v>0</v>
      </c>
      <c r="X33" s="316" t="str">
        <f ca="1" t="shared" si="3"/>
        <v>病假 8小时(04/21 09:00-04/21 18:30)，迟到3次共4分钟</v>
      </c>
    </row>
    <row r="34" s="349" customFormat="1" ht="22" customHeight="1" spans="1:24">
      <c r="A34" s="370" t="s">
        <v>97</v>
      </c>
      <c r="B34" s="285" t="s">
        <v>98</v>
      </c>
      <c r="C34" s="370">
        <v>4</v>
      </c>
      <c r="D34" s="370" t="s">
        <v>27</v>
      </c>
      <c r="E34" s="370" t="s">
        <v>99</v>
      </c>
      <c r="F34" s="371">
        <v>42705</v>
      </c>
      <c r="G34" s="51">
        <f ca="1" t="shared" ref="G34:V34" si="33">VLOOKUP($B34,INDIRECT($D34&amp;"!$AG$1:$AY$66"),MATCH(G$1,INDIRECT($D34&amp;"!$AG$1:$AY$1"),0),0)</f>
        <v>24</v>
      </c>
      <c r="H34" s="51">
        <f ca="1" t="shared" si="33"/>
        <v>22.44</v>
      </c>
      <c r="I34" s="51">
        <f ca="1" t="shared" si="33"/>
        <v>0</v>
      </c>
      <c r="J34" s="51">
        <f ca="1" t="shared" si="33"/>
        <v>0</v>
      </c>
      <c r="K34" s="51">
        <f ca="1" t="shared" si="33"/>
        <v>0</v>
      </c>
      <c r="L34" s="51">
        <f ca="1" t="shared" si="33"/>
        <v>0</v>
      </c>
      <c r="M34" s="51">
        <f ca="1" t="shared" si="33"/>
        <v>0.56</v>
      </c>
      <c r="N34" s="51">
        <f ca="1" t="shared" si="33"/>
        <v>0</v>
      </c>
      <c r="O34" s="51">
        <f ca="1" t="shared" si="33"/>
        <v>0</v>
      </c>
      <c r="P34" s="51">
        <f ca="1" t="shared" si="33"/>
        <v>0</v>
      </c>
      <c r="Q34" s="51">
        <f ca="1" t="shared" si="33"/>
        <v>0</v>
      </c>
      <c r="R34" s="51">
        <f ca="1" t="shared" si="33"/>
        <v>0</v>
      </c>
      <c r="S34" s="51">
        <f ca="1" t="shared" si="33"/>
        <v>0</v>
      </c>
      <c r="T34" s="51">
        <f ca="1" t="shared" si="33"/>
        <v>1</v>
      </c>
      <c r="U34" s="51">
        <f ca="1" t="shared" si="33"/>
        <v>24</v>
      </c>
      <c r="V34" s="51">
        <f ca="1" t="shared" si="33"/>
        <v>0</v>
      </c>
      <c r="W34" s="51">
        <f ca="1" t="shared" si="1"/>
        <v>200</v>
      </c>
      <c r="X34" s="316" t="str">
        <f ca="1" t="shared" si="3"/>
        <v>全勤，年假 4.5小时(04/17 14:00-04/17 18:30)</v>
      </c>
    </row>
    <row r="35" s="349" customFormat="1" ht="22" customHeight="1" spans="1:24">
      <c r="A35" s="370" t="s">
        <v>100</v>
      </c>
      <c r="B35" s="285" t="s">
        <v>101</v>
      </c>
      <c r="C35" s="370">
        <v>4</v>
      </c>
      <c r="D35" s="370" t="s">
        <v>27</v>
      </c>
      <c r="E35" s="370" t="s">
        <v>99</v>
      </c>
      <c r="F35" s="371">
        <v>43739</v>
      </c>
      <c r="G35" s="51">
        <f ca="1" t="shared" ref="G35:V35" si="34">VLOOKUP($B35,INDIRECT($D35&amp;"!$AG$1:$AY$66"),MATCH(G$1,INDIRECT($D35&amp;"!$AG$1:$AY$1"),0),0)</f>
        <v>24</v>
      </c>
      <c r="H35" s="51">
        <f ca="1" t="shared" si="34"/>
        <v>22.44</v>
      </c>
      <c r="I35" s="51">
        <f ca="1" t="shared" si="34"/>
        <v>0</v>
      </c>
      <c r="J35" s="51">
        <f ca="1" t="shared" si="34"/>
        <v>0</v>
      </c>
      <c r="K35" s="51">
        <f ca="1" t="shared" si="34"/>
        <v>0</v>
      </c>
      <c r="L35" s="51">
        <f ca="1" t="shared" si="34"/>
        <v>0</v>
      </c>
      <c r="M35" s="51">
        <f ca="1" t="shared" si="34"/>
        <v>0.56</v>
      </c>
      <c r="N35" s="51">
        <f ca="1" t="shared" si="34"/>
        <v>0</v>
      </c>
      <c r="O35" s="51">
        <f ca="1" t="shared" si="34"/>
        <v>0</v>
      </c>
      <c r="P35" s="51">
        <f ca="1" t="shared" si="34"/>
        <v>0</v>
      </c>
      <c r="Q35" s="51">
        <f ca="1" t="shared" si="34"/>
        <v>0</v>
      </c>
      <c r="R35" s="51">
        <f ca="1" t="shared" si="34"/>
        <v>0</v>
      </c>
      <c r="S35" s="51">
        <f ca="1" t="shared" si="34"/>
        <v>0</v>
      </c>
      <c r="T35" s="51">
        <f ca="1" t="shared" si="34"/>
        <v>1</v>
      </c>
      <c r="U35" s="51">
        <f ca="1" t="shared" si="34"/>
        <v>24</v>
      </c>
      <c r="V35" s="51">
        <f ca="1" t="shared" si="34"/>
        <v>0</v>
      </c>
      <c r="W35" s="51">
        <f ca="1" t="shared" si="1"/>
        <v>200</v>
      </c>
      <c r="X35" s="316" t="str">
        <f ca="1" t="shared" si="3"/>
        <v>全勤，年假 4.5小时(04/17 14:00-04/17 18:30)</v>
      </c>
    </row>
    <row r="36" s="349" customFormat="1" ht="22" customHeight="1" spans="1:24">
      <c r="A36" s="370" t="s">
        <v>102</v>
      </c>
      <c r="B36" s="285" t="s">
        <v>103</v>
      </c>
      <c r="C36" s="370">
        <v>4</v>
      </c>
      <c r="D36" s="370" t="s">
        <v>27</v>
      </c>
      <c r="E36" s="370" t="s">
        <v>104</v>
      </c>
      <c r="F36" s="371">
        <v>42624</v>
      </c>
      <c r="G36" s="51">
        <f ca="1" t="shared" ref="G36:V36" si="35">VLOOKUP($B36,INDIRECT($D36&amp;"!$AG$1:$AY$66"),MATCH(G$1,INDIRECT($D36&amp;"!$AG$1:$AY$1"),0),0)</f>
        <v>24</v>
      </c>
      <c r="H36" s="51">
        <f ca="1" t="shared" si="35"/>
        <v>22</v>
      </c>
      <c r="I36" s="51">
        <f ca="1" t="shared" si="35"/>
        <v>0</v>
      </c>
      <c r="J36" s="51">
        <f ca="1" t="shared" si="35"/>
        <v>0</v>
      </c>
      <c r="K36" s="51">
        <f ca="1" t="shared" si="35"/>
        <v>0</v>
      </c>
      <c r="L36" s="51">
        <f ca="1" t="shared" si="35"/>
        <v>0</v>
      </c>
      <c r="M36" s="51">
        <f ca="1" t="shared" si="35"/>
        <v>1</v>
      </c>
      <c r="N36" s="51">
        <f ca="1" t="shared" si="35"/>
        <v>0</v>
      </c>
      <c r="O36" s="51">
        <f ca="1" t="shared" si="35"/>
        <v>0</v>
      </c>
      <c r="P36" s="51">
        <f ca="1" t="shared" si="35"/>
        <v>0</v>
      </c>
      <c r="Q36" s="51">
        <f ca="1" t="shared" si="35"/>
        <v>0</v>
      </c>
      <c r="R36" s="51">
        <f ca="1" t="shared" si="35"/>
        <v>0</v>
      </c>
      <c r="S36" s="51">
        <f ca="1" t="shared" si="35"/>
        <v>0</v>
      </c>
      <c r="T36" s="51">
        <f ca="1" t="shared" si="35"/>
        <v>1</v>
      </c>
      <c r="U36" s="51">
        <f ca="1" t="shared" si="35"/>
        <v>24</v>
      </c>
      <c r="V36" s="51">
        <f ca="1" t="shared" si="35"/>
        <v>0</v>
      </c>
      <c r="W36" s="51">
        <f ca="1" t="shared" si="1"/>
        <v>200</v>
      </c>
      <c r="X36" s="316" t="str">
        <f ca="1" t="shared" si="3"/>
        <v>全勤，年假 8小时(04/02 09:00-04/02 18:30);外出 3.5小时(04/17 15:00-04/17 18:30)</v>
      </c>
    </row>
    <row r="37" s="349" customFormat="1" ht="22" customHeight="1" spans="1:24">
      <c r="A37" s="370" t="s">
        <v>105</v>
      </c>
      <c r="B37" s="285" t="s">
        <v>106</v>
      </c>
      <c r="C37" s="370">
        <v>4</v>
      </c>
      <c r="D37" s="370" t="s">
        <v>27</v>
      </c>
      <c r="E37" s="370" t="s">
        <v>104</v>
      </c>
      <c r="F37" s="371">
        <v>43106</v>
      </c>
      <c r="G37" s="51">
        <f ca="1" t="shared" ref="G37:V37" si="36">VLOOKUP($B37,INDIRECT($D37&amp;"!$AG$1:$AY$66"),MATCH(G$1,INDIRECT($D37&amp;"!$AG$1:$AY$1"),0),0)</f>
        <v>24</v>
      </c>
      <c r="H37" s="51">
        <f ca="1" t="shared" si="36"/>
        <v>22</v>
      </c>
      <c r="I37" s="51">
        <f ca="1" t="shared" si="36"/>
        <v>0</v>
      </c>
      <c r="J37" s="51">
        <f ca="1" t="shared" si="36"/>
        <v>0</v>
      </c>
      <c r="K37" s="51">
        <f ca="1" t="shared" si="36"/>
        <v>0</v>
      </c>
      <c r="L37" s="51">
        <f ca="1" t="shared" si="36"/>
        <v>0</v>
      </c>
      <c r="M37" s="51">
        <f ca="1" t="shared" si="36"/>
        <v>1</v>
      </c>
      <c r="N37" s="51">
        <f ca="1" t="shared" si="36"/>
        <v>0</v>
      </c>
      <c r="O37" s="51">
        <f ca="1" t="shared" si="36"/>
        <v>0</v>
      </c>
      <c r="P37" s="51">
        <f ca="1" t="shared" si="36"/>
        <v>0</v>
      </c>
      <c r="Q37" s="51">
        <f ca="1" t="shared" si="36"/>
        <v>0</v>
      </c>
      <c r="R37" s="51">
        <f ca="1" t="shared" si="36"/>
        <v>0</v>
      </c>
      <c r="S37" s="51">
        <f ca="1" t="shared" si="36"/>
        <v>0</v>
      </c>
      <c r="T37" s="51">
        <f ca="1" t="shared" si="36"/>
        <v>1</v>
      </c>
      <c r="U37" s="51">
        <f ca="1" t="shared" si="36"/>
        <v>24</v>
      </c>
      <c r="V37" s="51">
        <f ca="1" t="shared" si="36"/>
        <v>0</v>
      </c>
      <c r="W37" s="51">
        <f ca="1" t="shared" si="1"/>
        <v>200</v>
      </c>
      <c r="X37" s="316" t="str">
        <f ca="1" t="shared" si="3"/>
        <v>全勤，年假 8小时(04/10 09:00-04/10 18:30)</v>
      </c>
    </row>
    <row r="38" s="349" customFormat="1" ht="22" customHeight="1" spans="1:24">
      <c r="A38" s="370" t="s">
        <v>107</v>
      </c>
      <c r="B38" s="285" t="s">
        <v>108</v>
      </c>
      <c r="C38" s="370">
        <v>4</v>
      </c>
      <c r="D38" s="370" t="s">
        <v>27</v>
      </c>
      <c r="E38" s="370" t="s">
        <v>104</v>
      </c>
      <c r="F38" s="371">
        <v>45502</v>
      </c>
      <c r="G38" s="51">
        <f ca="1" t="shared" ref="G38:V38" si="37">VLOOKUP($B38,INDIRECT($D38&amp;"!$AG$1:$AY$66"),MATCH(G$1,INDIRECT($D38&amp;"!$AG$1:$AY$1"),0),0)</f>
        <v>24</v>
      </c>
      <c r="H38" s="51">
        <f ca="1" t="shared" si="37"/>
        <v>21.44</v>
      </c>
      <c r="I38" s="51">
        <f ca="1" t="shared" si="37"/>
        <v>0</v>
      </c>
      <c r="J38" s="51">
        <f ca="1" t="shared" si="37"/>
        <v>0</v>
      </c>
      <c r="K38" s="51">
        <f ca="1" t="shared" si="37"/>
        <v>0</v>
      </c>
      <c r="L38" s="51">
        <f ca="1" t="shared" si="37"/>
        <v>1.56</v>
      </c>
      <c r="M38" s="51">
        <f ca="1" t="shared" si="37"/>
        <v>0</v>
      </c>
      <c r="N38" s="51">
        <f ca="1" t="shared" si="37"/>
        <v>0</v>
      </c>
      <c r="O38" s="51">
        <f ca="1" t="shared" si="37"/>
        <v>0</v>
      </c>
      <c r="P38" s="51">
        <f ca="1" t="shared" si="37"/>
        <v>0</v>
      </c>
      <c r="Q38" s="51">
        <f ca="1" t="shared" si="37"/>
        <v>0</v>
      </c>
      <c r="R38" s="51">
        <f ca="1" t="shared" si="37"/>
        <v>0</v>
      </c>
      <c r="S38" s="51">
        <f ca="1" t="shared" si="37"/>
        <v>0</v>
      </c>
      <c r="T38" s="51">
        <f ca="1" t="shared" si="37"/>
        <v>1</v>
      </c>
      <c r="U38" s="51">
        <f ca="1" t="shared" si="37"/>
        <v>22.44</v>
      </c>
      <c r="V38" s="51">
        <f ca="1" t="shared" si="37"/>
        <v>0</v>
      </c>
      <c r="W38" s="51">
        <f ca="1" t="shared" si="1"/>
        <v>0</v>
      </c>
      <c r="X38" s="316" t="str">
        <f ca="1" t="shared" si="3"/>
        <v>事假 12.5小时(04/29 14:00-04/30 18:30)</v>
      </c>
    </row>
    <row r="39" s="349" customFormat="1" ht="22" customHeight="1" spans="1:24">
      <c r="A39" s="401" t="s">
        <v>109</v>
      </c>
      <c r="B39" s="285" t="s">
        <v>110</v>
      </c>
      <c r="C39" s="370">
        <v>4</v>
      </c>
      <c r="D39" s="370" t="s">
        <v>27</v>
      </c>
      <c r="E39" s="370" t="s">
        <v>104</v>
      </c>
      <c r="F39" s="371">
        <v>45931</v>
      </c>
      <c r="G39" s="51">
        <f ca="1" t="shared" ref="G39:V39" si="38">VLOOKUP($B39,INDIRECT($D39&amp;"!$AG$1:$AY$66"),MATCH(G$1,INDIRECT($D39&amp;"!$AG$1:$AY$1"),0),0)</f>
        <v>24</v>
      </c>
      <c r="H39" s="51">
        <f ca="1" t="shared" si="38"/>
        <v>21</v>
      </c>
      <c r="I39" s="51">
        <f ca="1" t="shared" si="38"/>
        <v>0</v>
      </c>
      <c r="J39" s="51">
        <f ca="1" t="shared" si="38"/>
        <v>0</v>
      </c>
      <c r="K39" s="51">
        <f ca="1" t="shared" si="38"/>
        <v>0</v>
      </c>
      <c r="L39" s="51">
        <f ca="1" t="shared" si="38"/>
        <v>2</v>
      </c>
      <c r="M39" s="51">
        <f ca="1" t="shared" si="38"/>
        <v>0</v>
      </c>
      <c r="N39" s="51">
        <f ca="1" t="shared" si="38"/>
        <v>0</v>
      </c>
      <c r="O39" s="51">
        <f ca="1" t="shared" si="38"/>
        <v>0</v>
      </c>
      <c r="P39" s="51">
        <f ca="1" t="shared" si="38"/>
        <v>0</v>
      </c>
      <c r="Q39" s="51">
        <f ca="1" t="shared" si="38"/>
        <v>0</v>
      </c>
      <c r="R39" s="51">
        <f ca="1" t="shared" si="38"/>
        <v>0</v>
      </c>
      <c r="S39" s="51">
        <f ca="1" t="shared" si="38"/>
        <v>0</v>
      </c>
      <c r="T39" s="51">
        <f ca="1" t="shared" si="38"/>
        <v>1</v>
      </c>
      <c r="U39" s="51">
        <f ca="1" t="shared" si="38"/>
        <v>22</v>
      </c>
      <c r="V39" s="51">
        <f ca="1" t="shared" si="38"/>
        <v>0</v>
      </c>
      <c r="W39" s="51">
        <f ca="1" t="shared" si="1"/>
        <v>0</v>
      </c>
      <c r="X39" s="316" t="str">
        <f ca="1" t="shared" si="3"/>
        <v>事假 8小时(04/04 09:00-04/04 18:30);事假 8小时(04/24 09:00-04/24 18:30)</v>
      </c>
    </row>
    <row r="40" s="349" customFormat="1" ht="22" customHeight="1" spans="1:24">
      <c r="A40" s="401" t="s">
        <v>111</v>
      </c>
      <c r="B40" s="285" t="s">
        <v>112</v>
      </c>
      <c r="C40" s="370">
        <v>4</v>
      </c>
      <c r="D40" s="370" t="s">
        <v>27</v>
      </c>
      <c r="E40" s="370" t="s">
        <v>113</v>
      </c>
      <c r="F40" s="371">
        <v>46023</v>
      </c>
      <c r="G40" s="51">
        <f ca="1" t="shared" ref="G40:V40" si="39">VLOOKUP($B40,INDIRECT($D40&amp;"!$AG$1:$AY$66"),MATCH(G$1,INDIRECT($D40&amp;"!$AG$1:$AY$1"),0),0)</f>
        <v>24</v>
      </c>
      <c r="H40" s="51">
        <f ca="1" t="shared" si="39"/>
        <v>23</v>
      </c>
      <c r="I40" s="51">
        <f ca="1" t="shared" si="39"/>
        <v>0</v>
      </c>
      <c r="J40" s="51">
        <f ca="1" t="shared" si="39"/>
        <v>0</v>
      </c>
      <c r="K40" s="51">
        <f ca="1" t="shared" si="39"/>
        <v>0</v>
      </c>
      <c r="L40" s="51">
        <f ca="1" t="shared" si="39"/>
        <v>0</v>
      </c>
      <c r="M40" s="51">
        <f ca="1" t="shared" si="39"/>
        <v>0</v>
      </c>
      <c r="N40" s="51">
        <f ca="1" t="shared" si="39"/>
        <v>0</v>
      </c>
      <c r="O40" s="51">
        <f ca="1" t="shared" si="39"/>
        <v>0</v>
      </c>
      <c r="P40" s="51">
        <f ca="1" t="shared" si="39"/>
        <v>0</v>
      </c>
      <c r="Q40" s="51">
        <f ca="1" t="shared" si="39"/>
        <v>0</v>
      </c>
      <c r="R40" s="51">
        <f ca="1" t="shared" si="39"/>
        <v>0</v>
      </c>
      <c r="S40" s="51">
        <f ca="1" t="shared" si="39"/>
        <v>0</v>
      </c>
      <c r="T40" s="51">
        <f ca="1" t="shared" si="39"/>
        <v>1</v>
      </c>
      <c r="U40" s="51">
        <f ca="1" t="shared" si="39"/>
        <v>24</v>
      </c>
      <c r="V40" s="51">
        <f ca="1" t="shared" si="39"/>
        <v>0</v>
      </c>
      <c r="W40" s="51">
        <f ca="1" t="shared" si="1"/>
        <v>200</v>
      </c>
      <c r="X40" s="316" t="str">
        <f ca="1" t="shared" si="3"/>
        <v>全勤</v>
      </c>
    </row>
    <row r="41" s="349" customFormat="1" ht="22" customHeight="1" spans="1:24">
      <c r="A41" s="370" t="s">
        <v>114</v>
      </c>
      <c r="B41" s="285" t="s">
        <v>115</v>
      </c>
      <c r="C41" s="370">
        <v>4</v>
      </c>
      <c r="D41" s="370" t="s">
        <v>27</v>
      </c>
      <c r="E41" s="370" t="s">
        <v>116</v>
      </c>
      <c r="F41" s="371">
        <v>42065</v>
      </c>
      <c r="G41" s="51">
        <f ca="1" t="shared" ref="G41:V41" si="40">VLOOKUP($B41,INDIRECT($D41&amp;"!$AG$1:$AY$66"),MATCH(G$1,INDIRECT($D41&amp;"!$AG$1:$AY$1"),0),0)</f>
        <v>24</v>
      </c>
      <c r="H41" s="51">
        <f ca="1" t="shared" si="40"/>
        <v>20</v>
      </c>
      <c r="I41" s="51">
        <f ca="1" t="shared" si="40"/>
        <v>0</v>
      </c>
      <c r="J41" s="51">
        <f ca="1" t="shared" si="40"/>
        <v>0</v>
      </c>
      <c r="K41" s="51">
        <f ca="1" t="shared" si="40"/>
        <v>0</v>
      </c>
      <c r="L41" s="51">
        <f ca="1" t="shared" si="40"/>
        <v>0</v>
      </c>
      <c r="M41" s="51">
        <f ca="1" t="shared" si="40"/>
        <v>3</v>
      </c>
      <c r="N41" s="51">
        <f ca="1" t="shared" si="40"/>
        <v>0</v>
      </c>
      <c r="O41" s="51">
        <f ca="1" t="shared" si="40"/>
        <v>0</v>
      </c>
      <c r="P41" s="51">
        <f ca="1" t="shared" si="40"/>
        <v>0</v>
      </c>
      <c r="Q41" s="51">
        <f ca="1" t="shared" si="40"/>
        <v>0</v>
      </c>
      <c r="R41" s="51">
        <f ca="1" t="shared" si="40"/>
        <v>0</v>
      </c>
      <c r="S41" s="51">
        <f ca="1" t="shared" si="40"/>
        <v>0</v>
      </c>
      <c r="T41" s="51">
        <f ca="1" t="shared" si="40"/>
        <v>1</v>
      </c>
      <c r="U41" s="51">
        <f ca="1" t="shared" si="40"/>
        <v>24</v>
      </c>
      <c r="V41" s="51">
        <f ca="1" t="shared" si="40"/>
        <v>0</v>
      </c>
      <c r="W41" s="51">
        <f ca="1" t="shared" si="1"/>
        <v>200</v>
      </c>
      <c r="X41" s="316" t="str">
        <f ca="1" t="shared" si="3"/>
        <v>全勤，外出 4.5小时(04/02 14:00-04/02 18:30);年假 12.5小时(04/27 14:00-04/28 18:30);年假 11.5小时(04/29 09:00-04/30 12:30)</v>
      </c>
    </row>
    <row r="42" s="349" customFormat="1" ht="22" customHeight="1" spans="1:24">
      <c r="A42" s="370" t="s">
        <v>117</v>
      </c>
      <c r="B42" s="285" t="s">
        <v>118</v>
      </c>
      <c r="C42" s="370">
        <v>4</v>
      </c>
      <c r="D42" s="370" t="s">
        <v>27</v>
      </c>
      <c r="E42" s="370" t="s">
        <v>119</v>
      </c>
      <c r="F42" s="371">
        <v>45505</v>
      </c>
      <c r="G42" s="51">
        <f ca="1" t="shared" ref="G42:V42" si="41">VLOOKUP($B42,INDIRECT($D42&amp;"!$AG$1:$AY$66"),MATCH(G$1,INDIRECT($D42&amp;"!$AG$1:$AY$1"),0),0)</f>
        <v>24</v>
      </c>
      <c r="H42" s="51">
        <f ca="1" t="shared" si="41"/>
        <v>23</v>
      </c>
      <c r="I42" s="51">
        <f ca="1" t="shared" si="41"/>
        <v>0</v>
      </c>
      <c r="J42" s="51">
        <f ca="1" t="shared" si="41"/>
        <v>0</v>
      </c>
      <c r="K42" s="51">
        <f ca="1" t="shared" si="41"/>
        <v>0</v>
      </c>
      <c r="L42" s="51">
        <f ca="1" t="shared" si="41"/>
        <v>0</v>
      </c>
      <c r="M42" s="51">
        <f ca="1" t="shared" si="41"/>
        <v>0</v>
      </c>
      <c r="N42" s="51">
        <f ca="1" t="shared" si="41"/>
        <v>0</v>
      </c>
      <c r="O42" s="51">
        <f ca="1" t="shared" si="41"/>
        <v>0</v>
      </c>
      <c r="P42" s="51">
        <f ca="1" t="shared" si="41"/>
        <v>0</v>
      </c>
      <c r="Q42" s="51">
        <f ca="1" t="shared" si="41"/>
        <v>0</v>
      </c>
      <c r="R42" s="51">
        <f ca="1" t="shared" si="41"/>
        <v>0</v>
      </c>
      <c r="S42" s="51">
        <f ca="1" t="shared" si="41"/>
        <v>0</v>
      </c>
      <c r="T42" s="51">
        <f ca="1" t="shared" si="41"/>
        <v>1</v>
      </c>
      <c r="U42" s="51">
        <f ca="1" t="shared" si="41"/>
        <v>24</v>
      </c>
      <c r="V42" s="51">
        <f ca="1" t="shared" si="41"/>
        <v>0</v>
      </c>
      <c r="W42" s="51">
        <f ca="1" t="shared" si="1"/>
        <v>200</v>
      </c>
      <c r="X42" s="316" t="str">
        <f ca="1" t="shared" si="3"/>
        <v>全勤</v>
      </c>
    </row>
    <row r="43" s="349" customFormat="1" ht="22" customHeight="1" spans="1:24">
      <c r="A43" s="370" t="s">
        <v>120</v>
      </c>
      <c r="B43" s="285" t="s">
        <v>121</v>
      </c>
      <c r="C43" s="370">
        <v>4</v>
      </c>
      <c r="D43" s="370" t="s">
        <v>27</v>
      </c>
      <c r="E43" s="370" t="s">
        <v>119</v>
      </c>
      <c r="F43" s="371">
        <v>45475</v>
      </c>
      <c r="G43" s="51">
        <f ca="1" t="shared" ref="G43:V43" si="42">VLOOKUP($B43,INDIRECT($D43&amp;"!$AG$1:$AY$66"),MATCH(G$1,INDIRECT($D43&amp;"!$AG$1:$AY$1"),0),0)</f>
        <v>24</v>
      </c>
      <c r="H43" s="51">
        <f ca="1" t="shared" si="42"/>
        <v>21.44</v>
      </c>
      <c r="I43" s="51">
        <f ca="1" t="shared" si="42"/>
        <v>6</v>
      </c>
      <c r="J43" s="51">
        <f ca="1" t="shared" si="42"/>
        <v>0</v>
      </c>
      <c r="K43" s="51">
        <f ca="1" t="shared" si="42"/>
        <v>0</v>
      </c>
      <c r="L43" s="51">
        <f ca="1" t="shared" si="42"/>
        <v>1</v>
      </c>
      <c r="M43" s="51">
        <f ca="1" t="shared" si="42"/>
        <v>0.56</v>
      </c>
      <c r="N43" s="51">
        <f ca="1" t="shared" si="42"/>
        <v>0</v>
      </c>
      <c r="O43" s="51">
        <f ca="1" t="shared" si="42"/>
        <v>0</v>
      </c>
      <c r="P43" s="51">
        <f ca="1" t="shared" si="42"/>
        <v>0</v>
      </c>
      <c r="Q43" s="51">
        <f ca="1" t="shared" si="42"/>
        <v>0</v>
      </c>
      <c r="R43" s="51">
        <f ca="1" t="shared" si="42"/>
        <v>0</v>
      </c>
      <c r="S43" s="51">
        <f ca="1" t="shared" si="42"/>
        <v>0</v>
      </c>
      <c r="T43" s="51">
        <f ca="1" t="shared" si="42"/>
        <v>1</v>
      </c>
      <c r="U43" s="51">
        <f ca="1" t="shared" si="42"/>
        <v>23</v>
      </c>
      <c r="V43" s="51">
        <f ca="1" t="shared" si="42"/>
        <v>0</v>
      </c>
      <c r="W43" s="51">
        <f ca="1" t="shared" si="1"/>
        <v>0</v>
      </c>
      <c r="X43" s="316" t="str">
        <f ca="1" t="shared" si="3"/>
        <v>事假 8小时(04/07 09:00-04/07 18:30);年假 4.5小时(04/20 14:00-04/20 18:30)，迟到6分钟</v>
      </c>
    </row>
    <row r="44" s="349" customFormat="1" ht="22" customHeight="1" spans="1:24">
      <c r="A44" s="370" t="s">
        <v>122</v>
      </c>
      <c r="B44" s="285" t="s">
        <v>123</v>
      </c>
      <c r="C44" s="370">
        <v>4</v>
      </c>
      <c r="D44" s="370" t="s">
        <v>27</v>
      </c>
      <c r="E44" s="370" t="s">
        <v>119</v>
      </c>
      <c r="F44" s="371">
        <v>43863</v>
      </c>
      <c r="G44" s="51">
        <f ca="1" t="shared" ref="G44:V44" si="43">VLOOKUP($B44,INDIRECT($D44&amp;"!$AG$1:$AY$66"),MATCH(G$1,INDIRECT($D44&amp;"!$AG$1:$AY$1"),0),0)</f>
        <v>24</v>
      </c>
      <c r="H44" s="51">
        <f ca="1" t="shared" si="43"/>
        <v>23</v>
      </c>
      <c r="I44" s="51">
        <f ca="1" t="shared" si="43"/>
        <v>0</v>
      </c>
      <c r="J44" s="51">
        <f ca="1" t="shared" si="43"/>
        <v>0</v>
      </c>
      <c r="K44" s="51">
        <f ca="1" t="shared" si="43"/>
        <v>0</v>
      </c>
      <c r="L44" s="51">
        <f ca="1" t="shared" si="43"/>
        <v>0</v>
      </c>
      <c r="M44" s="51">
        <f ca="1" t="shared" si="43"/>
        <v>0</v>
      </c>
      <c r="N44" s="51">
        <f ca="1" t="shared" si="43"/>
        <v>0</v>
      </c>
      <c r="O44" s="51">
        <f ca="1" t="shared" si="43"/>
        <v>0</v>
      </c>
      <c r="P44" s="51">
        <f ca="1" t="shared" si="43"/>
        <v>0</v>
      </c>
      <c r="Q44" s="51">
        <f ca="1" t="shared" si="43"/>
        <v>0</v>
      </c>
      <c r="R44" s="51">
        <f ca="1" t="shared" si="43"/>
        <v>0</v>
      </c>
      <c r="S44" s="51">
        <f ca="1" t="shared" si="43"/>
        <v>0</v>
      </c>
      <c r="T44" s="51">
        <f ca="1" t="shared" si="43"/>
        <v>1</v>
      </c>
      <c r="U44" s="51">
        <f ca="1" t="shared" si="43"/>
        <v>24</v>
      </c>
      <c r="V44" s="51">
        <f ca="1" t="shared" si="43"/>
        <v>0</v>
      </c>
      <c r="W44" s="51">
        <f ca="1" t="shared" si="1"/>
        <v>200</v>
      </c>
      <c r="X44" s="316" t="str">
        <f ca="1" t="shared" si="3"/>
        <v>全勤</v>
      </c>
    </row>
    <row r="45" s="349" customFormat="1" ht="22" customHeight="1" spans="1:24">
      <c r="A45" s="370" t="s">
        <v>124</v>
      </c>
      <c r="B45" s="285" t="s">
        <v>125</v>
      </c>
      <c r="C45" s="370">
        <v>4</v>
      </c>
      <c r="D45" s="370" t="s">
        <v>27</v>
      </c>
      <c r="E45" s="370" t="s">
        <v>119</v>
      </c>
      <c r="F45" s="371">
        <v>45559</v>
      </c>
      <c r="G45" s="51">
        <f ca="1" t="shared" ref="G45:V45" si="44">VLOOKUP($B45,INDIRECT($D45&amp;"!$AG$1:$AY$66"),MATCH(G$1,INDIRECT($D45&amp;"!$AG$1:$AY$1"),0),0)</f>
        <v>24</v>
      </c>
      <c r="H45" s="51">
        <f ca="1" t="shared" si="44"/>
        <v>22.56</v>
      </c>
      <c r="I45" s="51">
        <f ca="1" t="shared" si="44"/>
        <v>5</v>
      </c>
      <c r="J45" s="51">
        <f ca="1" t="shared" si="44"/>
        <v>0</v>
      </c>
      <c r="K45" s="51">
        <f ca="1" t="shared" si="44"/>
        <v>0</v>
      </c>
      <c r="L45" s="51">
        <f ca="1" t="shared" si="44"/>
        <v>0.44</v>
      </c>
      <c r="M45" s="51">
        <f ca="1" t="shared" si="44"/>
        <v>0</v>
      </c>
      <c r="N45" s="51">
        <f ca="1" t="shared" si="44"/>
        <v>0</v>
      </c>
      <c r="O45" s="51">
        <f ca="1" t="shared" si="44"/>
        <v>0</v>
      </c>
      <c r="P45" s="51">
        <f ca="1" t="shared" si="44"/>
        <v>0</v>
      </c>
      <c r="Q45" s="51">
        <f ca="1" t="shared" si="44"/>
        <v>0</v>
      </c>
      <c r="R45" s="51">
        <f ca="1" t="shared" si="44"/>
        <v>0</v>
      </c>
      <c r="S45" s="51">
        <f ca="1" t="shared" si="44"/>
        <v>0</v>
      </c>
      <c r="T45" s="51">
        <f ca="1" t="shared" si="44"/>
        <v>1</v>
      </c>
      <c r="U45" s="51">
        <f ca="1" t="shared" si="44"/>
        <v>23.56</v>
      </c>
      <c r="V45" s="51">
        <f ca="1" t="shared" si="44"/>
        <v>0</v>
      </c>
      <c r="W45" s="51">
        <f ca="1" t="shared" si="1"/>
        <v>0</v>
      </c>
      <c r="X45" s="316" t="str">
        <f ca="1" t="shared" si="3"/>
        <v>30日事假(09:00-12:30)，迟到4次共5分钟</v>
      </c>
    </row>
    <row r="46" s="349" customFormat="1" ht="22" customHeight="1" spans="1:24">
      <c r="A46" s="370" t="s">
        <v>126</v>
      </c>
      <c r="B46" s="285" t="s">
        <v>127</v>
      </c>
      <c r="C46" s="370">
        <v>4</v>
      </c>
      <c r="D46" s="370" t="s">
        <v>27</v>
      </c>
      <c r="E46" s="370" t="s">
        <v>116</v>
      </c>
      <c r="F46" s="371">
        <v>42345</v>
      </c>
      <c r="G46" s="51">
        <f ca="1" t="shared" ref="G46:V46" si="45">VLOOKUP($B46,INDIRECT($D46&amp;"!$AG$1:$AY$66"),MATCH(G$1,INDIRECT($D46&amp;"!$AG$1:$AY$1"),0),0)</f>
        <v>24</v>
      </c>
      <c r="H46" s="51">
        <f ca="1" t="shared" si="45"/>
        <v>22</v>
      </c>
      <c r="I46" s="51">
        <f ca="1" t="shared" si="45"/>
        <v>0</v>
      </c>
      <c r="J46" s="51">
        <f ca="1" t="shared" si="45"/>
        <v>0</v>
      </c>
      <c r="K46" s="51">
        <f ca="1" t="shared" si="45"/>
        <v>0</v>
      </c>
      <c r="L46" s="51">
        <f ca="1" t="shared" si="45"/>
        <v>0</v>
      </c>
      <c r="M46" s="51">
        <f ca="1" t="shared" si="45"/>
        <v>1</v>
      </c>
      <c r="N46" s="51">
        <f ca="1" t="shared" si="45"/>
        <v>0</v>
      </c>
      <c r="O46" s="51">
        <f ca="1" t="shared" si="45"/>
        <v>0</v>
      </c>
      <c r="P46" s="51">
        <f ca="1" t="shared" si="45"/>
        <v>0</v>
      </c>
      <c r="Q46" s="51">
        <f ca="1" t="shared" si="45"/>
        <v>0</v>
      </c>
      <c r="R46" s="51">
        <f ca="1" t="shared" si="45"/>
        <v>0</v>
      </c>
      <c r="S46" s="51">
        <f ca="1" t="shared" si="45"/>
        <v>0</v>
      </c>
      <c r="T46" s="51">
        <f ca="1" t="shared" si="45"/>
        <v>1</v>
      </c>
      <c r="U46" s="51">
        <f ca="1" t="shared" si="45"/>
        <v>24</v>
      </c>
      <c r="V46" s="51">
        <f ca="1" t="shared" si="45"/>
        <v>0</v>
      </c>
      <c r="W46" s="51">
        <f ca="1" t="shared" si="1"/>
        <v>200</v>
      </c>
      <c r="X46" s="316" t="str">
        <f ca="1" t="shared" si="3"/>
        <v>全勤，外出 4.5小时(04/02 14:00-04/02 18:30);外出 4.5小时(04/08 14:00-04/08 18:30);年假 8小时(04/18 09:00-04/18 18:30)</v>
      </c>
    </row>
    <row r="47" s="349" customFormat="1" ht="22" customHeight="1" spans="1:24">
      <c r="A47" s="370" t="s">
        <v>128</v>
      </c>
      <c r="B47" s="285" t="s">
        <v>129</v>
      </c>
      <c r="C47" s="370">
        <v>4</v>
      </c>
      <c r="D47" s="370" t="s">
        <v>27</v>
      </c>
      <c r="E47" s="370" t="s">
        <v>130</v>
      </c>
      <c r="F47" s="371">
        <v>43259</v>
      </c>
      <c r="G47" s="51">
        <f ca="1" t="shared" ref="G47:V47" si="46">VLOOKUP($B47,INDIRECT($D47&amp;"!$AG$1:$AY$66"),MATCH(G$1,INDIRECT($D47&amp;"!$AG$1:$AY$1"),0),0)</f>
        <v>24</v>
      </c>
      <c r="H47" s="51">
        <f ca="1" t="shared" si="46"/>
        <v>22</v>
      </c>
      <c r="I47" s="51">
        <f ca="1" t="shared" si="46"/>
        <v>0</v>
      </c>
      <c r="J47" s="51">
        <f ca="1" t="shared" si="46"/>
        <v>1</v>
      </c>
      <c r="K47" s="51">
        <f ca="1" t="shared" si="46"/>
        <v>0</v>
      </c>
      <c r="L47" s="51">
        <f ca="1" t="shared" si="46"/>
        <v>1</v>
      </c>
      <c r="M47" s="51">
        <f ca="1" t="shared" si="46"/>
        <v>0</v>
      </c>
      <c r="N47" s="51">
        <f ca="1" t="shared" si="46"/>
        <v>0</v>
      </c>
      <c r="O47" s="51">
        <f ca="1" t="shared" si="46"/>
        <v>0</v>
      </c>
      <c r="P47" s="51">
        <f ca="1" t="shared" si="46"/>
        <v>0</v>
      </c>
      <c r="Q47" s="51">
        <f ca="1" t="shared" si="46"/>
        <v>0</v>
      </c>
      <c r="R47" s="51">
        <f ca="1" t="shared" si="46"/>
        <v>0</v>
      </c>
      <c r="S47" s="51">
        <f ca="1" t="shared" si="46"/>
        <v>0</v>
      </c>
      <c r="T47" s="51">
        <f ca="1" t="shared" si="46"/>
        <v>1</v>
      </c>
      <c r="U47" s="51">
        <f ca="1" t="shared" si="46"/>
        <v>23</v>
      </c>
      <c r="V47" s="51">
        <f ca="1" t="shared" si="46"/>
        <v>0</v>
      </c>
      <c r="W47" s="51">
        <f ca="1" t="shared" si="1"/>
        <v>0</v>
      </c>
      <c r="X47" s="316" t="str">
        <f ca="1" t="shared" si="3"/>
        <v>事假 8小时(04/04 09:00-04/04 18:30);外出 4.5小时(04/08 14:00-04/08 18:30)，缺卡1次</v>
      </c>
    </row>
    <row r="48" s="349" customFormat="1" ht="22" customHeight="1" spans="1:24">
      <c r="A48" s="370" t="s">
        <v>131</v>
      </c>
      <c r="B48" s="285" t="s">
        <v>132</v>
      </c>
      <c r="C48" s="370">
        <v>4</v>
      </c>
      <c r="D48" s="370" t="s">
        <v>27</v>
      </c>
      <c r="E48" s="370" t="s">
        <v>130</v>
      </c>
      <c r="F48" s="371">
        <v>44197</v>
      </c>
      <c r="G48" s="51">
        <f ca="1" t="shared" ref="G48:V48" si="47">VLOOKUP($B48,INDIRECT($D48&amp;"!$AG$1:$AY$66"),MATCH(G$1,INDIRECT($D48&amp;"!$AG$1:$AY$1"),0),0)</f>
        <v>24</v>
      </c>
      <c r="H48" s="51">
        <f ca="1" t="shared" si="47"/>
        <v>22.44</v>
      </c>
      <c r="I48" s="51">
        <f ca="1" t="shared" si="47"/>
        <v>0</v>
      </c>
      <c r="J48" s="51">
        <f ca="1" t="shared" si="47"/>
        <v>0</v>
      </c>
      <c r="K48" s="51">
        <f ca="1" t="shared" si="47"/>
        <v>0</v>
      </c>
      <c r="L48" s="51">
        <f ca="1" t="shared" si="47"/>
        <v>0</v>
      </c>
      <c r="M48" s="51">
        <f ca="1" t="shared" si="47"/>
        <v>0.56</v>
      </c>
      <c r="N48" s="51">
        <f ca="1" t="shared" si="47"/>
        <v>0</v>
      </c>
      <c r="O48" s="51">
        <f ca="1" t="shared" si="47"/>
        <v>0</v>
      </c>
      <c r="P48" s="51">
        <f ca="1" t="shared" si="47"/>
        <v>0</v>
      </c>
      <c r="Q48" s="51">
        <f ca="1" t="shared" si="47"/>
        <v>0</v>
      </c>
      <c r="R48" s="51">
        <f ca="1" t="shared" si="47"/>
        <v>0</v>
      </c>
      <c r="S48" s="51">
        <f ca="1" t="shared" si="47"/>
        <v>0</v>
      </c>
      <c r="T48" s="51">
        <f ca="1" t="shared" si="47"/>
        <v>1</v>
      </c>
      <c r="U48" s="51">
        <f ca="1" t="shared" si="47"/>
        <v>24</v>
      </c>
      <c r="V48" s="51">
        <f ca="1" t="shared" si="47"/>
        <v>0</v>
      </c>
      <c r="W48" s="51">
        <f ca="1" t="shared" si="1"/>
        <v>200</v>
      </c>
      <c r="X48" s="316" t="str">
        <f ca="1" t="shared" si="3"/>
        <v>全勤，年假 4.5小时(04/24 14:00-04/24 18:30)</v>
      </c>
    </row>
    <row r="49" s="349" customFormat="1" ht="22" customHeight="1" spans="1:24">
      <c r="A49" s="370" t="s">
        <v>133</v>
      </c>
      <c r="B49" s="285" t="s">
        <v>134</v>
      </c>
      <c r="C49" s="370">
        <v>4</v>
      </c>
      <c r="D49" s="370" t="s">
        <v>27</v>
      </c>
      <c r="E49" s="370" t="s">
        <v>130</v>
      </c>
      <c r="F49" s="371">
        <v>44348</v>
      </c>
      <c r="G49" s="51">
        <f ca="1" t="shared" ref="G49:V49" si="48">VLOOKUP($B49,INDIRECT($D49&amp;"!$AG$1:$AY$66"),MATCH(G$1,INDIRECT($D49&amp;"!$AG$1:$AY$1"),0),0)</f>
        <v>24</v>
      </c>
      <c r="H49" s="51">
        <f ca="1" t="shared" si="48"/>
        <v>22.56</v>
      </c>
      <c r="I49" s="51">
        <f ca="1" t="shared" si="48"/>
        <v>0</v>
      </c>
      <c r="J49" s="51">
        <f ca="1" t="shared" si="48"/>
        <v>0</v>
      </c>
      <c r="K49" s="51">
        <f ca="1" t="shared" si="48"/>
        <v>0</v>
      </c>
      <c r="L49" s="51">
        <f ca="1" t="shared" si="48"/>
        <v>0</v>
      </c>
      <c r="M49" s="51">
        <f ca="1" t="shared" si="48"/>
        <v>0.44</v>
      </c>
      <c r="N49" s="51">
        <f ca="1" t="shared" si="48"/>
        <v>0</v>
      </c>
      <c r="O49" s="51">
        <f ca="1" t="shared" si="48"/>
        <v>0</v>
      </c>
      <c r="P49" s="51">
        <f ca="1" t="shared" si="48"/>
        <v>0</v>
      </c>
      <c r="Q49" s="51">
        <f ca="1" t="shared" si="48"/>
        <v>0</v>
      </c>
      <c r="R49" s="51">
        <f ca="1" t="shared" si="48"/>
        <v>0</v>
      </c>
      <c r="S49" s="51">
        <f ca="1" t="shared" si="48"/>
        <v>0</v>
      </c>
      <c r="T49" s="51">
        <f ca="1" t="shared" si="48"/>
        <v>1</v>
      </c>
      <c r="U49" s="51">
        <f ca="1" t="shared" si="48"/>
        <v>24</v>
      </c>
      <c r="V49" s="51">
        <f ca="1" t="shared" si="48"/>
        <v>0</v>
      </c>
      <c r="W49" s="51">
        <f ca="1" t="shared" si="1"/>
        <v>200</v>
      </c>
      <c r="X49" s="316" t="str">
        <f ca="1" t="shared" si="3"/>
        <v>全勤，年假 3.5小时(04/28 09:00-04/28 12:30)</v>
      </c>
    </row>
    <row r="50" s="349" customFormat="1" ht="22" customHeight="1" spans="1:24">
      <c r="A50" s="401" t="s">
        <v>135</v>
      </c>
      <c r="B50" s="51" t="s">
        <v>136</v>
      </c>
      <c r="C50" s="370">
        <v>4</v>
      </c>
      <c r="D50" s="370" t="s">
        <v>27</v>
      </c>
      <c r="E50" s="370" t="s">
        <v>130</v>
      </c>
      <c r="F50" s="371"/>
      <c r="G50" s="51">
        <f ca="1" t="shared" ref="G50:V50" si="49">VLOOKUP($B50,INDIRECT($D50&amp;"!$AG$1:$AY$66"),MATCH(G$1,INDIRECT($D50&amp;"!$AG$1:$AY$1"),0),0)</f>
        <v>24</v>
      </c>
      <c r="H50" s="51">
        <f ca="1" t="shared" si="49"/>
        <v>23</v>
      </c>
      <c r="I50" s="51">
        <f ca="1" t="shared" si="49"/>
        <v>0</v>
      </c>
      <c r="J50" s="51">
        <f ca="1" t="shared" si="49"/>
        <v>0</v>
      </c>
      <c r="K50" s="51">
        <f ca="1" t="shared" si="49"/>
        <v>0</v>
      </c>
      <c r="L50" s="51">
        <f ca="1" t="shared" si="49"/>
        <v>0</v>
      </c>
      <c r="M50" s="51">
        <f ca="1" t="shared" si="49"/>
        <v>0</v>
      </c>
      <c r="N50" s="51">
        <f ca="1" t="shared" si="49"/>
        <v>0</v>
      </c>
      <c r="O50" s="51">
        <f ca="1" t="shared" si="49"/>
        <v>0</v>
      </c>
      <c r="P50" s="51">
        <f ca="1" t="shared" si="49"/>
        <v>0</v>
      </c>
      <c r="Q50" s="51">
        <f ca="1" t="shared" si="49"/>
        <v>0</v>
      </c>
      <c r="R50" s="51">
        <f ca="1" t="shared" si="49"/>
        <v>0</v>
      </c>
      <c r="S50" s="51">
        <f ca="1" t="shared" si="49"/>
        <v>0</v>
      </c>
      <c r="T50" s="51">
        <f ca="1" t="shared" si="49"/>
        <v>1</v>
      </c>
      <c r="U50" s="51">
        <f ca="1" t="shared" si="49"/>
        <v>24</v>
      </c>
      <c r="V50" s="51">
        <f ca="1" t="shared" si="49"/>
        <v>0</v>
      </c>
      <c r="W50" s="51">
        <f ca="1" t="shared" si="1"/>
        <v>200</v>
      </c>
      <c r="X50" s="316" t="str">
        <f ca="1" t="shared" si="3"/>
        <v>全勤</v>
      </c>
    </row>
    <row r="51" s="349" customFormat="1" ht="22" customHeight="1" spans="1:24">
      <c r="A51" s="401" t="s">
        <v>137</v>
      </c>
      <c r="B51" s="51" t="s">
        <v>138</v>
      </c>
      <c r="C51" s="370">
        <v>4</v>
      </c>
      <c r="D51" s="370" t="s">
        <v>27</v>
      </c>
      <c r="E51" s="370" t="s">
        <v>130</v>
      </c>
      <c r="F51" s="371"/>
      <c r="G51" s="51">
        <f ca="1" t="shared" ref="G51:V51" si="50">VLOOKUP($B51,INDIRECT($D51&amp;"!$AG$1:$AY$66"),MATCH(G$1,INDIRECT($D51&amp;"!$AG$1:$AY$1"),0),0)</f>
        <v>24</v>
      </c>
      <c r="H51" s="51">
        <f ca="1" t="shared" si="50"/>
        <v>23</v>
      </c>
      <c r="I51" s="51">
        <f ca="1" t="shared" si="50"/>
        <v>0</v>
      </c>
      <c r="J51" s="51">
        <f ca="1" t="shared" si="50"/>
        <v>0</v>
      </c>
      <c r="K51" s="51">
        <f ca="1" t="shared" si="50"/>
        <v>0</v>
      </c>
      <c r="L51" s="51">
        <f ca="1" t="shared" si="50"/>
        <v>0</v>
      </c>
      <c r="M51" s="51">
        <f ca="1" t="shared" si="50"/>
        <v>0</v>
      </c>
      <c r="N51" s="51">
        <f ca="1" t="shared" si="50"/>
        <v>0</v>
      </c>
      <c r="O51" s="51">
        <f ca="1" t="shared" si="50"/>
        <v>0</v>
      </c>
      <c r="P51" s="51">
        <f ca="1" t="shared" si="50"/>
        <v>0</v>
      </c>
      <c r="Q51" s="51">
        <f ca="1" t="shared" si="50"/>
        <v>0</v>
      </c>
      <c r="R51" s="51">
        <f ca="1" t="shared" si="50"/>
        <v>0</v>
      </c>
      <c r="S51" s="51">
        <f ca="1" t="shared" si="50"/>
        <v>0</v>
      </c>
      <c r="T51" s="51">
        <f ca="1" t="shared" si="50"/>
        <v>1</v>
      </c>
      <c r="U51" s="51">
        <f ca="1" t="shared" si="50"/>
        <v>24</v>
      </c>
      <c r="V51" s="51">
        <f ca="1" t="shared" si="50"/>
        <v>0</v>
      </c>
      <c r="W51" s="51">
        <f ca="1" t="shared" si="1"/>
        <v>200</v>
      </c>
      <c r="X51" s="316" t="str">
        <f ca="1" t="shared" si="3"/>
        <v>全勤</v>
      </c>
    </row>
    <row r="52" s="349" customFormat="1" ht="22" customHeight="1" spans="1:24">
      <c r="A52" s="401" t="s">
        <v>139</v>
      </c>
      <c r="B52" s="285" t="s">
        <v>140</v>
      </c>
      <c r="C52" s="370">
        <v>4</v>
      </c>
      <c r="D52" s="370" t="s">
        <v>27</v>
      </c>
      <c r="E52" s="370" t="s">
        <v>141</v>
      </c>
      <c r="F52" s="371">
        <v>45881</v>
      </c>
      <c r="G52" s="51">
        <f ca="1" t="shared" ref="G52:V52" si="51">VLOOKUP($B52,INDIRECT($D52&amp;"!$AG$1:$AY$66"),MATCH(G$1,INDIRECT($D52&amp;"!$AG$1:$AY$1"),0),0)</f>
        <v>24</v>
      </c>
      <c r="H52" s="51">
        <f ca="1" t="shared" si="51"/>
        <v>23</v>
      </c>
      <c r="I52" s="51">
        <f ca="1" t="shared" si="51"/>
        <v>0</v>
      </c>
      <c r="J52" s="51">
        <f ca="1" t="shared" si="51"/>
        <v>0</v>
      </c>
      <c r="K52" s="51">
        <f ca="1" t="shared" si="51"/>
        <v>0</v>
      </c>
      <c r="L52" s="51">
        <f ca="1" t="shared" si="51"/>
        <v>0</v>
      </c>
      <c r="M52" s="51">
        <f ca="1" t="shared" si="51"/>
        <v>0</v>
      </c>
      <c r="N52" s="51">
        <f ca="1" t="shared" si="51"/>
        <v>0</v>
      </c>
      <c r="O52" s="51">
        <f ca="1" t="shared" si="51"/>
        <v>0</v>
      </c>
      <c r="P52" s="51">
        <f ca="1" t="shared" si="51"/>
        <v>0</v>
      </c>
      <c r="Q52" s="51">
        <f ca="1" t="shared" si="51"/>
        <v>0</v>
      </c>
      <c r="R52" s="51">
        <f ca="1" t="shared" si="51"/>
        <v>0</v>
      </c>
      <c r="S52" s="51">
        <f ca="1" t="shared" si="51"/>
        <v>0</v>
      </c>
      <c r="T52" s="51">
        <f ca="1" t="shared" si="51"/>
        <v>1</v>
      </c>
      <c r="U52" s="51">
        <f ca="1" t="shared" si="51"/>
        <v>24</v>
      </c>
      <c r="V52" s="51">
        <f ca="1" t="shared" si="51"/>
        <v>0</v>
      </c>
      <c r="W52" s="51">
        <f ca="1" t="shared" si="1"/>
        <v>200</v>
      </c>
      <c r="X52" s="316" t="str">
        <f ca="1" t="shared" si="3"/>
        <v>全勤</v>
      </c>
    </row>
    <row r="53" s="349" customFormat="1" ht="22" customHeight="1" spans="1:24">
      <c r="A53" s="370" t="s">
        <v>142</v>
      </c>
      <c r="B53" s="285" t="s">
        <v>143</v>
      </c>
      <c r="C53" s="370">
        <v>4</v>
      </c>
      <c r="D53" s="370" t="s">
        <v>144</v>
      </c>
      <c r="E53" s="370" t="s">
        <v>145</v>
      </c>
      <c r="F53" s="371">
        <v>44546</v>
      </c>
      <c r="G53" s="51">
        <f ca="1" t="shared" ref="G53:V53" si="52">VLOOKUP($B53,INDIRECT($D53&amp;"!$AG$1:$AY$66"),MATCH(G$1,INDIRECT($D53&amp;"!$AG$1:$AY$1"),0),0)</f>
        <v>24</v>
      </c>
      <c r="H53" s="51">
        <f ca="1" t="shared" si="52"/>
        <v>23</v>
      </c>
      <c r="I53" s="51">
        <f ca="1" t="shared" si="52"/>
        <v>0</v>
      </c>
      <c r="J53" s="51">
        <f ca="1" t="shared" si="52"/>
        <v>0</v>
      </c>
      <c r="K53" s="51">
        <f ca="1" t="shared" si="52"/>
        <v>0</v>
      </c>
      <c r="L53" s="51">
        <f ca="1" t="shared" si="52"/>
        <v>0</v>
      </c>
      <c r="M53" s="51">
        <f ca="1" t="shared" si="52"/>
        <v>0</v>
      </c>
      <c r="N53" s="51">
        <f ca="1" t="shared" si="52"/>
        <v>0</v>
      </c>
      <c r="O53" s="51">
        <f ca="1" t="shared" si="52"/>
        <v>0</v>
      </c>
      <c r="P53" s="51">
        <f ca="1" t="shared" si="52"/>
        <v>0</v>
      </c>
      <c r="Q53" s="51">
        <f ca="1" t="shared" si="52"/>
        <v>0</v>
      </c>
      <c r="R53" s="51">
        <f ca="1" t="shared" si="52"/>
        <v>0</v>
      </c>
      <c r="S53" s="51">
        <f ca="1" t="shared" si="52"/>
        <v>0</v>
      </c>
      <c r="T53" s="51">
        <f ca="1" t="shared" si="52"/>
        <v>1</v>
      </c>
      <c r="U53" s="51">
        <f ca="1" t="shared" si="52"/>
        <v>24</v>
      </c>
      <c r="V53" s="51">
        <f ca="1" t="shared" si="52"/>
        <v>0</v>
      </c>
      <c r="W53" s="51">
        <f ca="1" t="shared" si="1"/>
        <v>200</v>
      </c>
      <c r="X53" s="316" t="str">
        <f ca="1" t="shared" si="3"/>
        <v>全勤</v>
      </c>
    </row>
    <row r="54" s="349" customFormat="1" ht="22" customHeight="1" spans="1:24">
      <c r="A54" s="370" t="s">
        <v>146</v>
      </c>
      <c r="B54" s="51" t="s">
        <v>147</v>
      </c>
      <c r="C54" s="370">
        <v>4</v>
      </c>
      <c r="D54" s="370" t="s">
        <v>144</v>
      </c>
      <c r="E54" s="370" t="s">
        <v>145</v>
      </c>
      <c r="F54" s="371">
        <v>43034</v>
      </c>
      <c r="G54" s="51">
        <f ca="1" t="shared" ref="G54:V54" si="53">VLOOKUP($B54,INDIRECT($D54&amp;"!$AG$1:$AY$66"),MATCH(G$1,INDIRECT($D54&amp;"!$AG$1:$AY$1"),0),0)</f>
        <v>24</v>
      </c>
      <c r="H54" s="51">
        <f ca="1" t="shared" si="53"/>
        <v>23</v>
      </c>
      <c r="I54" s="51">
        <f ca="1" t="shared" si="53"/>
        <v>0</v>
      </c>
      <c r="J54" s="51">
        <f ca="1" t="shared" si="53"/>
        <v>0</v>
      </c>
      <c r="K54" s="51">
        <f ca="1" t="shared" si="53"/>
        <v>0</v>
      </c>
      <c r="L54" s="51">
        <f ca="1" t="shared" si="53"/>
        <v>0</v>
      </c>
      <c r="M54" s="51">
        <f ca="1" t="shared" si="53"/>
        <v>0</v>
      </c>
      <c r="N54" s="51">
        <f ca="1" t="shared" si="53"/>
        <v>0</v>
      </c>
      <c r="O54" s="51">
        <f ca="1" t="shared" si="53"/>
        <v>0</v>
      </c>
      <c r="P54" s="51">
        <f ca="1" t="shared" si="53"/>
        <v>0</v>
      </c>
      <c r="Q54" s="51">
        <f ca="1" t="shared" si="53"/>
        <v>0</v>
      </c>
      <c r="R54" s="51">
        <f ca="1" t="shared" si="53"/>
        <v>0</v>
      </c>
      <c r="S54" s="51">
        <f ca="1" t="shared" si="53"/>
        <v>0</v>
      </c>
      <c r="T54" s="51">
        <f ca="1" t="shared" si="53"/>
        <v>1</v>
      </c>
      <c r="U54" s="51">
        <f ca="1" t="shared" si="53"/>
        <v>24</v>
      </c>
      <c r="V54" s="51">
        <f ca="1" t="shared" si="53"/>
        <v>0</v>
      </c>
      <c r="W54" s="51">
        <f ca="1" t="shared" si="1"/>
        <v>200</v>
      </c>
      <c r="X54" s="316" t="str">
        <f ca="1" t="shared" si="3"/>
        <v>全勤</v>
      </c>
    </row>
    <row r="55" s="349" customFormat="1" ht="22" customHeight="1" spans="1:24">
      <c r="A55" s="370" t="s">
        <v>148</v>
      </c>
      <c r="B55" s="285" t="s">
        <v>149</v>
      </c>
      <c r="C55" s="370">
        <v>4</v>
      </c>
      <c r="D55" s="370" t="s">
        <v>144</v>
      </c>
      <c r="E55" s="370" t="s">
        <v>150</v>
      </c>
      <c r="F55" s="371">
        <v>44587</v>
      </c>
      <c r="G55" s="51" t="str">
        <f ca="1" t="shared" ref="G55:V55" si="54">VLOOKUP($B55,INDIRECT($D55&amp;"!$AG$1:$AY$66"),MATCH(G$1,INDIRECT($D55&amp;"!$AG$1:$AY$1"),0),0)</f>
        <v>24</v>
      </c>
      <c r="H55" s="51">
        <f ca="1" t="shared" si="54"/>
        <v>22.37</v>
      </c>
      <c r="I55" s="51">
        <f ca="1" t="shared" si="54"/>
        <v>0</v>
      </c>
      <c r="J55" s="51">
        <f ca="1" t="shared" si="54"/>
        <v>0</v>
      </c>
      <c r="K55" s="51">
        <f ca="1" t="shared" si="54"/>
        <v>0</v>
      </c>
      <c r="L55" s="51">
        <f ca="1" t="shared" si="54"/>
        <v>0</v>
      </c>
      <c r="M55" s="51">
        <f ca="1" t="shared" si="54"/>
        <v>0.63</v>
      </c>
      <c r="N55" s="51">
        <f ca="1" t="shared" si="54"/>
        <v>0</v>
      </c>
      <c r="O55" s="51">
        <f ca="1" t="shared" si="54"/>
        <v>0</v>
      </c>
      <c r="P55" s="51">
        <f ca="1" t="shared" si="54"/>
        <v>0</v>
      </c>
      <c r="Q55" s="51">
        <f ca="1" t="shared" si="54"/>
        <v>0</v>
      </c>
      <c r="R55" s="51">
        <f ca="1" t="shared" si="54"/>
        <v>0</v>
      </c>
      <c r="S55" s="51">
        <f ca="1" t="shared" si="54"/>
        <v>0</v>
      </c>
      <c r="T55" s="51">
        <f ca="1" t="shared" si="54"/>
        <v>1</v>
      </c>
      <c r="U55" s="51">
        <f ca="1" t="shared" si="54"/>
        <v>24</v>
      </c>
      <c r="V55" s="51">
        <f ca="1" t="shared" si="54"/>
        <v>0</v>
      </c>
      <c r="W55" s="51" t="str">
        <f ca="1" t="shared" si="1"/>
        <v>200</v>
      </c>
      <c r="X55" s="316" t="str">
        <f ca="1" t="shared" si="3"/>
        <v>全勤，年假 5小时(04/15 13:30-04/15 18:30)</v>
      </c>
    </row>
    <row r="56" s="349" customFormat="1" ht="22" customHeight="1" spans="1:24">
      <c r="A56" s="370" t="s">
        <v>151</v>
      </c>
      <c r="B56" s="285" t="s">
        <v>152</v>
      </c>
      <c r="C56" s="370">
        <v>4</v>
      </c>
      <c r="D56" s="370" t="s">
        <v>144</v>
      </c>
      <c r="E56" s="370" t="s">
        <v>150</v>
      </c>
      <c r="F56" s="371">
        <v>43082</v>
      </c>
      <c r="G56" s="51">
        <f ca="1" t="shared" ref="G56:V56" si="55">VLOOKUP($B56,INDIRECT($D56&amp;"!$AG$1:$AY$66"),MATCH(G$1,INDIRECT($D56&amp;"!$AG$1:$AY$1"),0),0)</f>
        <v>24</v>
      </c>
      <c r="H56" s="51">
        <f ca="1" t="shared" si="55"/>
        <v>23</v>
      </c>
      <c r="I56" s="51">
        <f ca="1" t="shared" si="55"/>
        <v>0</v>
      </c>
      <c r="J56" s="51">
        <f ca="1" t="shared" si="55"/>
        <v>0</v>
      </c>
      <c r="K56" s="51">
        <f ca="1" t="shared" si="55"/>
        <v>0</v>
      </c>
      <c r="L56" s="51">
        <f ca="1" t="shared" si="55"/>
        <v>0</v>
      </c>
      <c r="M56" s="51">
        <f ca="1" t="shared" si="55"/>
        <v>0</v>
      </c>
      <c r="N56" s="51">
        <f ca="1" t="shared" si="55"/>
        <v>0</v>
      </c>
      <c r="O56" s="51">
        <f ca="1" t="shared" si="55"/>
        <v>0</v>
      </c>
      <c r="P56" s="51">
        <f ca="1" t="shared" si="55"/>
        <v>0</v>
      </c>
      <c r="Q56" s="51">
        <f ca="1" t="shared" si="55"/>
        <v>0</v>
      </c>
      <c r="R56" s="51">
        <f ca="1" t="shared" si="55"/>
        <v>0</v>
      </c>
      <c r="S56" s="51">
        <f ca="1" t="shared" si="55"/>
        <v>0</v>
      </c>
      <c r="T56" s="51">
        <f ca="1" t="shared" si="55"/>
        <v>1</v>
      </c>
      <c r="U56" s="51">
        <f ca="1" t="shared" si="55"/>
        <v>24</v>
      </c>
      <c r="V56" s="51">
        <f ca="1" t="shared" si="55"/>
        <v>0</v>
      </c>
      <c r="W56" s="51">
        <f ca="1" t="shared" si="1"/>
        <v>200</v>
      </c>
      <c r="X56" s="316" t="str">
        <f ca="1" t="shared" si="3"/>
        <v>全勤</v>
      </c>
    </row>
    <row r="57" s="349" customFormat="1" ht="22" customHeight="1" spans="1:24">
      <c r="A57" s="370" t="s">
        <v>153</v>
      </c>
      <c r="B57" s="51" t="s">
        <v>154</v>
      </c>
      <c r="C57" s="370">
        <v>4</v>
      </c>
      <c r="D57" s="370" t="s">
        <v>144</v>
      </c>
      <c r="E57" s="370" t="s">
        <v>150</v>
      </c>
      <c r="F57" s="371">
        <v>44633</v>
      </c>
      <c r="G57" s="51">
        <f ca="1" t="shared" ref="G57:V57" si="56">VLOOKUP($B57,INDIRECT($D57&amp;"!$AG$1:$AY$66"),MATCH(G$1,INDIRECT($D57&amp;"!$AG$1:$AY$1"),0),0)</f>
        <v>24</v>
      </c>
      <c r="H57" s="51">
        <f ca="1" t="shared" si="56"/>
        <v>23</v>
      </c>
      <c r="I57" s="51">
        <f ca="1" t="shared" si="56"/>
        <v>0</v>
      </c>
      <c r="J57" s="51">
        <f ca="1" t="shared" si="56"/>
        <v>0</v>
      </c>
      <c r="K57" s="51">
        <f ca="1" t="shared" si="56"/>
        <v>0</v>
      </c>
      <c r="L57" s="51">
        <f ca="1" t="shared" si="56"/>
        <v>0</v>
      </c>
      <c r="M57" s="51">
        <f ca="1" t="shared" si="56"/>
        <v>0</v>
      </c>
      <c r="N57" s="51">
        <f ca="1" t="shared" si="56"/>
        <v>0</v>
      </c>
      <c r="O57" s="51">
        <f ca="1" t="shared" si="56"/>
        <v>0</v>
      </c>
      <c r="P57" s="51">
        <f ca="1" t="shared" si="56"/>
        <v>0</v>
      </c>
      <c r="Q57" s="51">
        <f ca="1" t="shared" si="56"/>
        <v>0</v>
      </c>
      <c r="R57" s="51">
        <f ca="1" t="shared" si="56"/>
        <v>0</v>
      </c>
      <c r="S57" s="51">
        <f ca="1" t="shared" si="56"/>
        <v>0</v>
      </c>
      <c r="T57" s="51">
        <f ca="1" t="shared" si="56"/>
        <v>1</v>
      </c>
      <c r="U57" s="51">
        <f ca="1" t="shared" si="56"/>
        <v>24</v>
      </c>
      <c r="V57" s="51">
        <f ca="1" t="shared" si="56"/>
        <v>0</v>
      </c>
      <c r="W57" s="51">
        <f ca="1" t="shared" si="1"/>
        <v>200</v>
      </c>
      <c r="X57" s="316" t="str">
        <f ca="1" t="shared" si="3"/>
        <v>全勤</v>
      </c>
    </row>
    <row r="58" s="349" customFormat="1" ht="22" customHeight="1" spans="1:24">
      <c r="A58" s="370" t="s">
        <v>155</v>
      </c>
      <c r="B58" s="51" t="s">
        <v>156</v>
      </c>
      <c r="C58" s="370">
        <v>4</v>
      </c>
      <c r="D58" s="370" t="s">
        <v>144</v>
      </c>
      <c r="E58" s="370" t="s">
        <v>150</v>
      </c>
      <c r="F58" s="371">
        <v>45192</v>
      </c>
      <c r="G58" s="51">
        <f ca="1" t="shared" ref="G58:V58" si="57">VLOOKUP($B58,INDIRECT($D58&amp;"!$AG$1:$AY$66"),MATCH(G$1,INDIRECT($D58&amp;"!$AG$1:$AY$1"),0),0)</f>
        <v>24</v>
      </c>
      <c r="H58" s="51">
        <f ca="1" t="shared" si="57"/>
        <v>22</v>
      </c>
      <c r="I58" s="51">
        <f ca="1" t="shared" si="57"/>
        <v>0</v>
      </c>
      <c r="J58" s="51">
        <f ca="1" t="shared" si="57"/>
        <v>0</v>
      </c>
      <c r="K58" s="51">
        <f ca="1" t="shared" si="57"/>
        <v>0</v>
      </c>
      <c r="L58" s="51">
        <f ca="1" t="shared" si="57"/>
        <v>1</v>
      </c>
      <c r="M58" s="51">
        <f ca="1" t="shared" si="57"/>
        <v>0</v>
      </c>
      <c r="N58" s="51">
        <f ca="1" t="shared" si="57"/>
        <v>0</v>
      </c>
      <c r="O58" s="51">
        <f ca="1" t="shared" si="57"/>
        <v>0</v>
      </c>
      <c r="P58" s="51">
        <f ca="1" t="shared" si="57"/>
        <v>0</v>
      </c>
      <c r="Q58" s="51">
        <f ca="1" t="shared" si="57"/>
        <v>0</v>
      </c>
      <c r="R58" s="51">
        <f ca="1" t="shared" si="57"/>
        <v>0</v>
      </c>
      <c r="S58" s="51">
        <f ca="1" t="shared" si="57"/>
        <v>0</v>
      </c>
      <c r="T58" s="51">
        <f ca="1" t="shared" si="57"/>
        <v>1</v>
      </c>
      <c r="U58" s="51">
        <f ca="1" t="shared" si="57"/>
        <v>23</v>
      </c>
      <c r="V58" s="51">
        <f ca="1" t="shared" si="57"/>
        <v>0</v>
      </c>
      <c r="W58" s="51">
        <f ca="1" t="shared" si="1"/>
        <v>0</v>
      </c>
      <c r="X58" s="316" t="str">
        <f ca="1" t="shared" si="3"/>
        <v>事假 8小时(04/04 09:00-04/04 18:30)</v>
      </c>
    </row>
    <row r="59" s="349" customFormat="1" ht="22" customHeight="1" spans="1:24">
      <c r="A59" s="370" t="s">
        <v>157</v>
      </c>
      <c r="B59" s="51" t="s">
        <v>158</v>
      </c>
      <c r="C59" s="370">
        <v>4</v>
      </c>
      <c r="D59" s="370" t="s">
        <v>144</v>
      </c>
      <c r="E59" s="370" t="s">
        <v>145</v>
      </c>
      <c r="F59" s="371">
        <v>45230</v>
      </c>
      <c r="G59" s="51">
        <f ca="1" t="shared" ref="G59:V59" si="58">VLOOKUP($B59,INDIRECT($D59&amp;"!$AG$1:$AY$66"),MATCH(G$1,INDIRECT($D59&amp;"!$AG$1:$AY$1"),0),0)</f>
        <v>24</v>
      </c>
      <c r="H59" s="51">
        <f ca="1" t="shared" si="58"/>
        <v>21</v>
      </c>
      <c r="I59" s="51">
        <f ca="1" t="shared" si="58"/>
        <v>0</v>
      </c>
      <c r="J59" s="51">
        <f ca="1" t="shared" si="58"/>
        <v>0</v>
      </c>
      <c r="K59" s="51">
        <f ca="1" t="shared" si="58"/>
        <v>0</v>
      </c>
      <c r="L59" s="51">
        <f ca="1" t="shared" si="58"/>
        <v>0</v>
      </c>
      <c r="M59" s="51">
        <f ca="1" t="shared" si="58"/>
        <v>2</v>
      </c>
      <c r="N59" s="51">
        <f ca="1" t="shared" si="58"/>
        <v>0</v>
      </c>
      <c r="O59" s="51">
        <f ca="1" t="shared" si="58"/>
        <v>0</v>
      </c>
      <c r="P59" s="51">
        <f ca="1" t="shared" si="58"/>
        <v>0</v>
      </c>
      <c r="Q59" s="51">
        <f ca="1" t="shared" si="58"/>
        <v>0</v>
      </c>
      <c r="R59" s="51">
        <f ca="1" t="shared" si="58"/>
        <v>0</v>
      </c>
      <c r="S59" s="51">
        <f ca="1" t="shared" si="58"/>
        <v>0</v>
      </c>
      <c r="T59" s="51">
        <f ca="1" t="shared" si="58"/>
        <v>1</v>
      </c>
      <c r="U59" s="51">
        <f ca="1" t="shared" si="58"/>
        <v>24</v>
      </c>
      <c r="V59" s="51">
        <f ca="1" t="shared" si="58"/>
        <v>0</v>
      </c>
      <c r="W59" s="51">
        <f ca="1" t="shared" si="1"/>
        <v>200</v>
      </c>
      <c r="X59" s="316" t="str">
        <f ca="1" t="shared" si="3"/>
        <v>全勤，年假 16小时(04/13 09:00-04/14 18:30)</v>
      </c>
    </row>
    <row r="60" s="349" customFormat="1" ht="22" customHeight="1" spans="1:24">
      <c r="A60" s="370" t="s">
        <v>159</v>
      </c>
      <c r="B60" s="51" t="s">
        <v>160</v>
      </c>
      <c r="C60" s="370">
        <v>4</v>
      </c>
      <c r="D60" s="370" t="s">
        <v>144</v>
      </c>
      <c r="E60" s="370" t="s">
        <v>150</v>
      </c>
      <c r="F60" s="371">
        <v>44378</v>
      </c>
      <c r="G60" s="51">
        <f ca="1" t="shared" ref="G60:V60" si="59">VLOOKUP($B60,INDIRECT($D60&amp;"!$AG$1:$AY$66"),MATCH(G$1,INDIRECT($D60&amp;"!$AG$1:$AY$1"),0),0)</f>
        <v>24</v>
      </c>
      <c r="H60" s="51">
        <f ca="1" t="shared" si="59"/>
        <v>23</v>
      </c>
      <c r="I60" s="51">
        <f ca="1" t="shared" si="59"/>
        <v>0</v>
      </c>
      <c r="J60" s="51">
        <f ca="1" t="shared" si="59"/>
        <v>0</v>
      </c>
      <c r="K60" s="51">
        <f ca="1" t="shared" si="59"/>
        <v>0</v>
      </c>
      <c r="L60" s="51">
        <f ca="1" t="shared" si="59"/>
        <v>0</v>
      </c>
      <c r="M60" s="51">
        <f ca="1" t="shared" si="59"/>
        <v>0</v>
      </c>
      <c r="N60" s="51">
        <f ca="1" t="shared" si="59"/>
        <v>0</v>
      </c>
      <c r="O60" s="51">
        <f ca="1" t="shared" si="59"/>
        <v>0</v>
      </c>
      <c r="P60" s="51">
        <f ca="1" t="shared" si="59"/>
        <v>0</v>
      </c>
      <c r="Q60" s="51">
        <f ca="1" t="shared" si="59"/>
        <v>0</v>
      </c>
      <c r="R60" s="51">
        <f ca="1" t="shared" si="59"/>
        <v>0</v>
      </c>
      <c r="S60" s="51">
        <f ca="1" t="shared" si="59"/>
        <v>0</v>
      </c>
      <c r="T60" s="51">
        <f ca="1" t="shared" si="59"/>
        <v>1</v>
      </c>
      <c r="U60" s="51">
        <f ca="1" t="shared" si="59"/>
        <v>24</v>
      </c>
      <c r="V60" s="51">
        <f ca="1" t="shared" si="59"/>
        <v>0</v>
      </c>
      <c r="W60" s="51">
        <f ca="1" t="shared" si="1"/>
        <v>200</v>
      </c>
      <c r="X60" s="316" t="str">
        <f ca="1" t="shared" si="3"/>
        <v>全勤</v>
      </c>
    </row>
    <row r="61" s="349" customFormat="1" ht="22" customHeight="1" spans="1:24">
      <c r="A61" s="370" t="s">
        <v>161</v>
      </c>
      <c r="B61" s="288" t="s">
        <v>162</v>
      </c>
      <c r="C61" s="370">
        <v>4</v>
      </c>
      <c r="D61" s="370" t="s">
        <v>144</v>
      </c>
      <c r="E61" s="370" t="s">
        <v>64</v>
      </c>
      <c r="F61" s="371">
        <v>45836</v>
      </c>
      <c r="G61" s="51">
        <f ca="1" t="shared" ref="G61:V61" si="60">VLOOKUP($B61,INDIRECT($D61&amp;"!$AG$1:$AY$66"),MATCH(G$1,INDIRECT($D61&amp;"!$AG$1:$AY$1"),0),0)</f>
        <v>24</v>
      </c>
      <c r="H61" s="51">
        <f ca="1" t="shared" si="60"/>
        <v>23</v>
      </c>
      <c r="I61" s="51">
        <f ca="1" t="shared" si="60"/>
        <v>0</v>
      </c>
      <c r="J61" s="51">
        <f ca="1" t="shared" si="60"/>
        <v>0</v>
      </c>
      <c r="K61" s="51">
        <f ca="1" t="shared" si="60"/>
        <v>0</v>
      </c>
      <c r="L61" s="51">
        <f ca="1" t="shared" si="60"/>
        <v>0</v>
      </c>
      <c r="M61" s="51">
        <f ca="1" t="shared" si="60"/>
        <v>0</v>
      </c>
      <c r="N61" s="51">
        <f ca="1" t="shared" si="60"/>
        <v>0</v>
      </c>
      <c r="O61" s="51">
        <f ca="1" t="shared" si="60"/>
        <v>0</v>
      </c>
      <c r="P61" s="51">
        <f ca="1" t="shared" si="60"/>
        <v>0</v>
      </c>
      <c r="Q61" s="51">
        <f ca="1" t="shared" si="60"/>
        <v>0</v>
      </c>
      <c r="R61" s="51">
        <f ca="1" t="shared" si="60"/>
        <v>0</v>
      </c>
      <c r="S61" s="51">
        <f ca="1" t="shared" si="60"/>
        <v>0</v>
      </c>
      <c r="T61" s="51">
        <f ca="1" t="shared" si="60"/>
        <v>1</v>
      </c>
      <c r="U61" s="51">
        <f ca="1" t="shared" si="60"/>
        <v>24</v>
      </c>
      <c r="V61" s="51">
        <f ca="1" t="shared" si="60"/>
        <v>0</v>
      </c>
      <c r="W61" s="51">
        <f ca="1" t="shared" si="1"/>
        <v>200</v>
      </c>
      <c r="X61" s="316" t="str">
        <f ca="1" t="shared" si="3"/>
        <v>全勤</v>
      </c>
    </row>
    <row r="62" s="349" customFormat="1" ht="22" customHeight="1" spans="1:24">
      <c r="A62" s="401" t="s">
        <v>163</v>
      </c>
      <c r="B62" s="288" t="s">
        <v>164</v>
      </c>
      <c r="C62" s="370">
        <v>4</v>
      </c>
      <c r="D62" s="370" t="s">
        <v>144</v>
      </c>
      <c r="E62" s="370" t="s">
        <v>64</v>
      </c>
      <c r="F62" s="371">
        <v>46065</v>
      </c>
      <c r="G62" s="51">
        <f ca="1" t="shared" ref="G62:V62" si="61">VLOOKUP($B62,INDIRECT($D62&amp;"!$AG$1:$AY$66"),MATCH(G$1,INDIRECT($D62&amp;"!$AG$1:$AY$1"),0),0)</f>
        <v>24</v>
      </c>
      <c r="H62" s="51">
        <f ca="1" t="shared" si="61"/>
        <v>22.63</v>
      </c>
      <c r="I62" s="51">
        <f ca="1" t="shared" si="61"/>
        <v>33</v>
      </c>
      <c r="J62" s="51">
        <f ca="1" t="shared" si="61"/>
        <v>0</v>
      </c>
      <c r="K62" s="51">
        <f ca="1" t="shared" si="61"/>
        <v>0</v>
      </c>
      <c r="L62" s="51">
        <f ca="1" t="shared" si="61"/>
        <v>0.37</v>
      </c>
      <c r="M62" s="51">
        <f ca="1" t="shared" si="61"/>
        <v>0</v>
      </c>
      <c r="N62" s="51">
        <f ca="1" t="shared" si="61"/>
        <v>0</v>
      </c>
      <c r="O62" s="51">
        <f ca="1" t="shared" si="61"/>
        <v>0</v>
      </c>
      <c r="P62" s="51">
        <f ca="1" t="shared" si="61"/>
        <v>0</v>
      </c>
      <c r="Q62" s="51">
        <f ca="1" t="shared" si="61"/>
        <v>0</v>
      </c>
      <c r="R62" s="51">
        <f ca="1" t="shared" si="61"/>
        <v>0</v>
      </c>
      <c r="S62" s="51">
        <f ca="1" t="shared" si="61"/>
        <v>0</v>
      </c>
      <c r="T62" s="51">
        <f ca="1" t="shared" si="61"/>
        <v>1</v>
      </c>
      <c r="U62" s="51">
        <f ca="1" t="shared" si="61"/>
        <v>23.63</v>
      </c>
      <c r="V62" s="51">
        <f ca="1" t="shared" si="61"/>
        <v>50</v>
      </c>
      <c r="W62" s="51">
        <f ca="1" t="shared" si="1"/>
        <v>0</v>
      </c>
      <c r="X62" s="316" t="str">
        <f ca="1" t="shared" si="3"/>
        <v>事假 3小时(04/17 09:00-04/17 12:00)，迟到6次共33分钟，按人力行政制度一个月内迟到累计30-60分钟（包含60），乐捐50元。</v>
      </c>
    </row>
    <row r="63" s="350" customFormat="1" ht="22" customHeight="1" spans="1:24">
      <c r="A63" s="401" t="s">
        <v>165</v>
      </c>
      <c r="B63" s="285" t="s">
        <v>166</v>
      </c>
      <c r="C63" s="370">
        <v>4</v>
      </c>
      <c r="D63" s="370" t="s">
        <v>167</v>
      </c>
      <c r="E63" s="374" t="s">
        <v>141</v>
      </c>
      <c r="F63" s="371">
        <v>43983</v>
      </c>
      <c r="G63" s="51">
        <f ca="1" t="shared" ref="G63:V63" si="62">VLOOKUP($B63,INDIRECT($D63&amp;"!$AG$1:$AY$66"),MATCH(G$1,INDIRECT($D63&amp;"!$AG$1:$AY$1"),0),0)</f>
        <v>24</v>
      </c>
      <c r="H63" s="51">
        <f ca="1" t="shared" si="62"/>
        <v>23</v>
      </c>
      <c r="I63" s="51">
        <f ca="1" t="shared" si="62"/>
        <v>0</v>
      </c>
      <c r="J63" s="51">
        <f ca="1" t="shared" si="62"/>
        <v>0</v>
      </c>
      <c r="K63" s="51">
        <f ca="1" t="shared" si="62"/>
        <v>0</v>
      </c>
      <c r="L63" s="51">
        <f ca="1" t="shared" si="62"/>
        <v>0</v>
      </c>
      <c r="M63" s="51">
        <f ca="1" t="shared" si="62"/>
        <v>0</v>
      </c>
      <c r="N63" s="51">
        <f ca="1" t="shared" si="62"/>
        <v>0</v>
      </c>
      <c r="O63" s="51">
        <f ca="1" t="shared" si="62"/>
        <v>0</v>
      </c>
      <c r="P63" s="51">
        <f ca="1" t="shared" si="62"/>
        <v>0</v>
      </c>
      <c r="Q63" s="51">
        <f ca="1" t="shared" si="62"/>
        <v>0</v>
      </c>
      <c r="R63" s="51">
        <f ca="1" t="shared" si="62"/>
        <v>0</v>
      </c>
      <c r="S63" s="51">
        <f ca="1" t="shared" si="62"/>
        <v>0</v>
      </c>
      <c r="T63" s="51">
        <f ca="1" t="shared" si="62"/>
        <v>1</v>
      </c>
      <c r="U63" s="51">
        <f ca="1" t="shared" si="62"/>
        <v>24</v>
      </c>
      <c r="V63" s="51">
        <f ca="1" t="shared" si="62"/>
        <v>0</v>
      </c>
      <c r="W63" s="51">
        <f ca="1" t="shared" si="1"/>
        <v>200</v>
      </c>
      <c r="X63" s="316" t="str">
        <f ca="1" t="shared" si="3"/>
        <v>全勤</v>
      </c>
    </row>
    <row r="64" s="351" customFormat="1" ht="22" customHeight="1" spans="1:24">
      <c r="A64" s="401" t="s">
        <v>168</v>
      </c>
      <c r="B64" s="374" t="s">
        <v>169</v>
      </c>
      <c r="C64" s="370">
        <v>4</v>
      </c>
      <c r="D64" s="370" t="s">
        <v>167</v>
      </c>
      <c r="E64" s="374" t="s">
        <v>141</v>
      </c>
      <c r="F64" s="371">
        <v>44991</v>
      </c>
      <c r="G64" s="51">
        <f ca="1" t="shared" ref="G64:V64" si="63">VLOOKUP($B64,INDIRECT($D64&amp;"!$AG$1:$AY$66"),MATCH(G$1,INDIRECT($D64&amp;"!$AG$1:$AY$1"),0),0)</f>
        <v>24</v>
      </c>
      <c r="H64" s="51">
        <f ca="1" t="shared" si="63"/>
        <v>23</v>
      </c>
      <c r="I64" s="51">
        <f ca="1" t="shared" si="63"/>
        <v>0</v>
      </c>
      <c r="J64" s="51">
        <f ca="1" t="shared" si="63"/>
        <v>0</v>
      </c>
      <c r="K64" s="51">
        <f ca="1" t="shared" si="63"/>
        <v>0</v>
      </c>
      <c r="L64" s="51">
        <f ca="1" t="shared" si="63"/>
        <v>0</v>
      </c>
      <c r="M64" s="51">
        <f ca="1" t="shared" si="63"/>
        <v>0</v>
      </c>
      <c r="N64" s="51">
        <f ca="1" t="shared" si="63"/>
        <v>0</v>
      </c>
      <c r="O64" s="51">
        <f ca="1" t="shared" si="63"/>
        <v>0</v>
      </c>
      <c r="P64" s="51">
        <f ca="1" t="shared" si="63"/>
        <v>0</v>
      </c>
      <c r="Q64" s="51">
        <f ca="1" t="shared" si="63"/>
        <v>0</v>
      </c>
      <c r="R64" s="51">
        <f ca="1" t="shared" si="63"/>
        <v>0</v>
      </c>
      <c r="S64" s="51">
        <f ca="1" t="shared" si="63"/>
        <v>0</v>
      </c>
      <c r="T64" s="51">
        <f ca="1" t="shared" si="63"/>
        <v>1</v>
      </c>
      <c r="U64" s="51">
        <f ca="1" t="shared" si="63"/>
        <v>24</v>
      </c>
      <c r="V64" s="51">
        <f ca="1" t="shared" si="63"/>
        <v>0</v>
      </c>
      <c r="W64" s="51">
        <f ca="1" t="shared" si="1"/>
        <v>200</v>
      </c>
      <c r="X64" s="316" t="str">
        <f ca="1" t="shared" si="3"/>
        <v>全勤</v>
      </c>
    </row>
    <row r="65" s="349" customFormat="1" ht="22" customHeight="1" spans="1:24">
      <c r="A65" s="401" t="s">
        <v>170</v>
      </c>
      <c r="B65" s="51" t="s">
        <v>171</v>
      </c>
      <c r="C65" s="370">
        <v>4</v>
      </c>
      <c r="D65" s="370" t="s">
        <v>167</v>
      </c>
      <c r="E65" s="370" t="s">
        <v>141</v>
      </c>
      <c r="F65" s="371">
        <v>45429</v>
      </c>
      <c r="G65" s="51">
        <f ca="1" t="shared" ref="G65:V65" si="64">VLOOKUP($B65,INDIRECT($D65&amp;"!$AG$1:$AY$66"),MATCH(G$1,INDIRECT($D65&amp;"!$AG$1:$AY$1"),0),0)</f>
        <v>26</v>
      </c>
      <c r="H65" s="51">
        <f ca="1" t="shared" si="64"/>
        <v>25</v>
      </c>
      <c r="I65" s="51">
        <f ca="1" t="shared" si="64"/>
        <v>0</v>
      </c>
      <c r="J65" s="51">
        <f ca="1" t="shared" si="64"/>
        <v>0</v>
      </c>
      <c r="K65" s="51">
        <f ca="1" t="shared" si="64"/>
        <v>0</v>
      </c>
      <c r="L65" s="51">
        <f ca="1" t="shared" si="64"/>
        <v>0</v>
      </c>
      <c r="M65" s="51">
        <f ca="1" t="shared" si="64"/>
        <v>0</v>
      </c>
      <c r="N65" s="51">
        <f ca="1" t="shared" si="64"/>
        <v>0</v>
      </c>
      <c r="O65" s="51">
        <f ca="1" t="shared" si="64"/>
        <v>0</v>
      </c>
      <c r="P65" s="51">
        <f ca="1" t="shared" si="64"/>
        <v>0</v>
      </c>
      <c r="Q65" s="51">
        <f ca="1" t="shared" si="64"/>
        <v>0</v>
      </c>
      <c r="R65" s="51">
        <f ca="1" t="shared" si="64"/>
        <v>0</v>
      </c>
      <c r="S65" s="51">
        <f ca="1" t="shared" si="64"/>
        <v>0</v>
      </c>
      <c r="T65" s="51">
        <f ca="1" t="shared" si="64"/>
        <v>1</v>
      </c>
      <c r="U65" s="51">
        <f ca="1" t="shared" si="64"/>
        <v>26</v>
      </c>
      <c r="V65" s="51">
        <f ca="1" t="shared" si="64"/>
        <v>0</v>
      </c>
      <c r="W65" s="51">
        <f ca="1" t="shared" si="1"/>
        <v>200</v>
      </c>
      <c r="X65" s="316" t="str">
        <f ca="1" t="shared" si="3"/>
        <v>全勤</v>
      </c>
    </row>
    <row r="66" s="349" customFormat="1" ht="22" customHeight="1" spans="1:24">
      <c r="A66" s="401" t="s">
        <v>172</v>
      </c>
      <c r="B66" s="51" t="s">
        <v>173</v>
      </c>
      <c r="C66" s="370">
        <v>4</v>
      </c>
      <c r="D66" s="370" t="s">
        <v>167</v>
      </c>
      <c r="E66" s="370" t="s">
        <v>141</v>
      </c>
      <c r="F66" s="371">
        <v>45444</v>
      </c>
      <c r="G66" s="51">
        <f ca="1" t="shared" ref="G66:V66" si="65">VLOOKUP($B66,INDIRECT($D66&amp;"!$AG$1:$AY$66"),MATCH(G$1,INDIRECT($D66&amp;"!$AG$1:$AY$1"),0),0)</f>
        <v>26</v>
      </c>
      <c r="H66" s="51">
        <f ca="1" t="shared" si="65"/>
        <v>24</v>
      </c>
      <c r="I66" s="51">
        <f ca="1" t="shared" si="65"/>
        <v>0</v>
      </c>
      <c r="J66" s="51">
        <f ca="1" t="shared" si="65"/>
        <v>0</v>
      </c>
      <c r="K66" s="51">
        <f ca="1" t="shared" si="65"/>
        <v>0</v>
      </c>
      <c r="L66" s="51">
        <f ca="1" t="shared" si="65"/>
        <v>0</v>
      </c>
      <c r="M66" s="51">
        <f ca="1" t="shared" si="65"/>
        <v>1</v>
      </c>
      <c r="N66" s="51">
        <f ca="1" t="shared" si="65"/>
        <v>0</v>
      </c>
      <c r="O66" s="51">
        <f ca="1" t="shared" si="65"/>
        <v>0</v>
      </c>
      <c r="P66" s="51">
        <f ca="1" t="shared" si="65"/>
        <v>0</v>
      </c>
      <c r="Q66" s="51">
        <f ca="1" t="shared" si="65"/>
        <v>0</v>
      </c>
      <c r="R66" s="51">
        <f ca="1" t="shared" si="65"/>
        <v>0</v>
      </c>
      <c r="S66" s="51">
        <f ca="1" t="shared" si="65"/>
        <v>0</v>
      </c>
      <c r="T66" s="51">
        <f ca="1" t="shared" si="65"/>
        <v>1</v>
      </c>
      <c r="U66" s="51">
        <f ca="1" t="shared" si="65"/>
        <v>26</v>
      </c>
      <c r="V66" s="51">
        <f ca="1" t="shared" si="65"/>
        <v>0</v>
      </c>
      <c r="W66" s="51">
        <f ca="1" t="shared" si="1"/>
        <v>200</v>
      </c>
      <c r="X66" s="316" t="str">
        <f ca="1" t="shared" si="3"/>
        <v>全勤，年假 7小时(04/13 09:00-04/13 18:00)</v>
      </c>
    </row>
    <row r="67" s="349" customFormat="1" ht="22" customHeight="1" spans="1:24">
      <c r="A67" s="401" t="s">
        <v>174</v>
      </c>
      <c r="B67" s="51" t="s">
        <v>175</v>
      </c>
      <c r="C67" s="370">
        <v>4</v>
      </c>
      <c r="D67" s="370" t="s">
        <v>167</v>
      </c>
      <c r="E67" s="370" t="s">
        <v>141</v>
      </c>
      <c r="F67" s="371">
        <v>45423</v>
      </c>
      <c r="G67" s="51">
        <f ca="1" t="shared" ref="G67:V67" si="66">VLOOKUP($B67,INDIRECT($D67&amp;"!$AG$1:$AY$66"),MATCH(G$1,INDIRECT($D67&amp;"!$AG$1:$AY$1"),0),0)</f>
        <v>26</v>
      </c>
      <c r="H67" s="51">
        <f ca="1" t="shared" si="66"/>
        <v>23.57</v>
      </c>
      <c r="I67" s="51">
        <f ca="1" t="shared" si="66"/>
        <v>0</v>
      </c>
      <c r="J67" s="51">
        <f ca="1" t="shared" si="66"/>
        <v>0</v>
      </c>
      <c r="K67" s="51">
        <f ca="1" t="shared" si="66"/>
        <v>0</v>
      </c>
      <c r="L67" s="51">
        <f ca="1" t="shared" si="66"/>
        <v>0</v>
      </c>
      <c r="M67" s="51">
        <f ca="1" t="shared" si="66"/>
        <v>1.43</v>
      </c>
      <c r="N67" s="51">
        <f ca="1" t="shared" si="66"/>
        <v>0</v>
      </c>
      <c r="O67" s="51">
        <f ca="1" t="shared" si="66"/>
        <v>0</v>
      </c>
      <c r="P67" s="51">
        <f ca="1" t="shared" si="66"/>
        <v>0</v>
      </c>
      <c r="Q67" s="51">
        <f ca="1" t="shared" si="66"/>
        <v>0</v>
      </c>
      <c r="R67" s="51">
        <f ca="1" t="shared" si="66"/>
        <v>0</v>
      </c>
      <c r="S67" s="51">
        <f ca="1" t="shared" si="66"/>
        <v>0</v>
      </c>
      <c r="T67" s="51">
        <f ca="1" t="shared" si="66"/>
        <v>1</v>
      </c>
      <c r="U67" s="51">
        <f ca="1" t="shared" si="66"/>
        <v>26</v>
      </c>
      <c r="V67" s="51">
        <f ca="1" t="shared" si="66"/>
        <v>0</v>
      </c>
      <c r="W67" s="51">
        <f ca="1" t="shared" ref="W67:W99" si="67">VLOOKUP($B67,INDIRECT($D67&amp;"!$AG$1:$AY$66"),MATCH(W$2,INDIRECT($D67&amp;"!$AG$1:$AY$1"),0),0)</f>
        <v>200</v>
      </c>
      <c r="X67" s="316" t="str">
        <f ca="1" t="shared" si="3"/>
        <v>全勤，年假 7小时(04/13 09:00-04/13 18:00);年假 3小时(04/22 09:00-04/22 12:00)</v>
      </c>
    </row>
    <row r="68" s="349" customFormat="1" ht="22" customHeight="1" spans="1:24">
      <c r="A68" s="401" t="s">
        <v>176</v>
      </c>
      <c r="B68" s="285" t="s">
        <v>177</v>
      </c>
      <c r="C68" s="370">
        <v>4</v>
      </c>
      <c r="D68" s="370" t="s">
        <v>167</v>
      </c>
      <c r="E68" s="370" t="s">
        <v>141</v>
      </c>
      <c r="F68" s="371">
        <v>45999</v>
      </c>
      <c r="G68" s="51">
        <f ca="1" t="shared" ref="G68:V68" si="68">VLOOKUP($B68,INDIRECT($D68&amp;"!$AG$1:$AY$66"),MATCH(G$1,INDIRECT($D68&amp;"!$AG$1:$AY$1"),0),0)</f>
        <v>26</v>
      </c>
      <c r="H68" s="51">
        <f ca="1" t="shared" si="68"/>
        <v>24</v>
      </c>
      <c r="I68" s="51">
        <f ca="1" t="shared" si="68"/>
        <v>0</v>
      </c>
      <c r="J68" s="51">
        <f ca="1" t="shared" si="68"/>
        <v>0</v>
      </c>
      <c r="K68" s="51">
        <f ca="1" t="shared" si="68"/>
        <v>0</v>
      </c>
      <c r="L68" s="51">
        <f ca="1" t="shared" si="68"/>
        <v>1</v>
      </c>
      <c r="M68" s="51">
        <f ca="1" t="shared" si="68"/>
        <v>0</v>
      </c>
      <c r="N68" s="51">
        <f ca="1" t="shared" si="68"/>
        <v>0</v>
      </c>
      <c r="O68" s="51">
        <f ca="1" t="shared" si="68"/>
        <v>0</v>
      </c>
      <c r="P68" s="51">
        <f ca="1" t="shared" si="68"/>
        <v>0</v>
      </c>
      <c r="Q68" s="51">
        <f ca="1" t="shared" si="68"/>
        <v>0</v>
      </c>
      <c r="R68" s="51">
        <f ca="1" t="shared" si="68"/>
        <v>0</v>
      </c>
      <c r="S68" s="51">
        <f ca="1" t="shared" si="68"/>
        <v>0</v>
      </c>
      <c r="T68" s="51">
        <f ca="1" t="shared" si="68"/>
        <v>1</v>
      </c>
      <c r="U68" s="51">
        <f ca="1" t="shared" si="68"/>
        <v>25</v>
      </c>
      <c r="V68" s="51">
        <f ca="1" t="shared" si="68"/>
        <v>0</v>
      </c>
      <c r="W68" s="51">
        <f ca="1" t="shared" si="67"/>
        <v>0</v>
      </c>
      <c r="X68" s="316" t="str">
        <f ca="1" t="shared" ref="X68:X99" si="69">VLOOKUP($B68,INDIRECT($D68&amp;"!$AG$1:$AY$66"),MATCH(X$1,INDIRECT($D68&amp;"!$AG$1:$AY$1"),0),0)</f>
        <v>事假 7小时(04/20 09:00-04/20 18:00)</v>
      </c>
    </row>
    <row r="69" s="349" customFormat="1" ht="22" customHeight="1" spans="1:24">
      <c r="A69" s="401" t="s">
        <v>178</v>
      </c>
      <c r="B69" s="51" t="s">
        <v>179</v>
      </c>
      <c r="C69" s="370">
        <v>4</v>
      </c>
      <c r="D69" s="370" t="s">
        <v>27</v>
      </c>
      <c r="E69" s="370" t="s">
        <v>141</v>
      </c>
      <c r="F69" s="371"/>
      <c r="G69" s="51">
        <f ca="1" t="shared" ref="G69:V69" si="70">VLOOKUP($B69,INDIRECT($D69&amp;"!$AG$1:$AY$66"),MATCH(G$1,INDIRECT($D69&amp;"!$AG$1:$AY$1"),0),0)</f>
        <v>24</v>
      </c>
      <c r="H69" s="51">
        <f ca="1" t="shared" si="70"/>
        <v>23</v>
      </c>
      <c r="I69" s="51">
        <f ca="1" t="shared" si="70"/>
        <v>0</v>
      </c>
      <c r="J69" s="51">
        <f ca="1" t="shared" si="70"/>
        <v>0</v>
      </c>
      <c r="K69" s="51">
        <f ca="1" t="shared" si="70"/>
        <v>0</v>
      </c>
      <c r="L69" s="51">
        <f ca="1" t="shared" si="70"/>
        <v>0</v>
      </c>
      <c r="M69" s="51">
        <f ca="1" t="shared" si="70"/>
        <v>0</v>
      </c>
      <c r="N69" s="51">
        <f ca="1" t="shared" si="70"/>
        <v>0</v>
      </c>
      <c r="O69" s="51">
        <f ca="1" t="shared" si="70"/>
        <v>0</v>
      </c>
      <c r="P69" s="51">
        <f ca="1" t="shared" si="70"/>
        <v>0</v>
      </c>
      <c r="Q69" s="51">
        <f ca="1" t="shared" si="70"/>
        <v>0</v>
      </c>
      <c r="R69" s="51">
        <f ca="1" t="shared" si="70"/>
        <v>0</v>
      </c>
      <c r="S69" s="51">
        <f ca="1" t="shared" si="70"/>
        <v>0</v>
      </c>
      <c r="T69" s="51">
        <f ca="1" t="shared" si="70"/>
        <v>1</v>
      </c>
      <c r="U69" s="51">
        <f ca="1" t="shared" si="70"/>
        <v>24</v>
      </c>
      <c r="V69" s="51">
        <f ca="1" t="shared" si="70"/>
        <v>0</v>
      </c>
      <c r="W69" s="51">
        <f ca="1" t="shared" si="67"/>
        <v>200</v>
      </c>
      <c r="X69" s="316" t="str">
        <f ca="1" t="shared" si="69"/>
        <v>全勤</v>
      </c>
    </row>
    <row r="70" s="349" customFormat="1" ht="22" customHeight="1" spans="1:24">
      <c r="A70" s="401" t="s">
        <v>180</v>
      </c>
      <c r="B70" s="51" t="s">
        <v>181</v>
      </c>
      <c r="C70" s="370">
        <v>4</v>
      </c>
      <c r="D70" s="370" t="s">
        <v>27</v>
      </c>
      <c r="E70" s="370" t="s">
        <v>141</v>
      </c>
      <c r="F70" s="371"/>
      <c r="G70" s="51">
        <f ca="1" t="shared" ref="G70:V70" si="71">VLOOKUP($B70,INDIRECT($D70&amp;"!$AG$1:$AY$66"),MATCH(G$1,INDIRECT($D70&amp;"!$AG$1:$AY$1"),0),0)</f>
        <v>24</v>
      </c>
      <c r="H70" s="51">
        <f ca="1" t="shared" si="71"/>
        <v>23</v>
      </c>
      <c r="I70" s="51">
        <f ca="1" t="shared" si="71"/>
        <v>0</v>
      </c>
      <c r="J70" s="51">
        <f ca="1" t="shared" si="71"/>
        <v>0</v>
      </c>
      <c r="K70" s="51">
        <f ca="1" t="shared" si="71"/>
        <v>0</v>
      </c>
      <c r="L70" s="51">
        <f ca="1" t="shared" si="71"/>
        <v>0</v>
      </c>
      <c r="M70" s="51">
        <f ca="1" t="shared" si="71"/>
        <v>0</v>
      </c>
      <c r="N70" s="51">
        <f ca="1" t="shared" si="71"/>
        <v>0</v>
      </c>
      <c r="O70" s="51">
        <f ca="1" t="shared" si="71"/>
        <v>0</v>
      </c>
      <c r="P70" s="51">
        <f ca="1" t="shared" si="71"/>
        <v>0</v>
      </c>
      <c r="Q70" s="51">
        <f ca="1" t="shared" si="71"/>
        <v>0</v>
      </c>
      <c r="R70" s="51">
        <f ca="1" t="shared" si="71"/>
        <v>0</v>
      </c>
      <c r="S70" s="51">
        <f ca="1" t="shared" si="71"/>
        <v>0</v>
      </c>
      <c r="T70" s="51">
        <f ca="1" t="shared" si="71"/>
        <v>1</v>
      </c>
      <c r="U70" s="51">
        <f ca="1" t="shared" si="71"/>
        <v>24</v>
      </c>
      <c r="V70" s="51">
        <f ca="1" t="shared" si="71"/>
        <v>0</v>
      </c>
      <c r="W70" s="51">
        <f ca="1" t="shared" si="67"/>
        <v>200</v>
      </c>
      <c r="X70" s="316" t="str">
        <f ca="1" t="shared" si="69"/>
        <v>全勤</v>
      </c>
    </row>
    <row r="71" s="349" customFormat="1" ht="22" customHeight="1" spans="1:24">
      <c r="A71" s="401" t="s">
        <v>182</v>
      </c>
      <c r="B71" s="285" t="s">
        <v>183</v>
      </c>
      <c r="C71" s="370">
        <v>4</v>
      </c>
      <c r="D71" s="370" t="s">
        <v>167</v>
      </c>
      <c r="E71" s="298" t="s">
        <v>119</v>
      </c>
      <c r="F71" s="371">
        <v>45536</v>
      </c>
      <c r="G71" s="51">
        <f ca="1" t="shared" ref="G71:V71" si="72">VLOOKUP($B71,INDIRECT($D71&amp;"!$AG$1:$AY$66"),MATCH(G$1,INDIRECT($D71&amp;"!$AG$1:$AY$1"),0),0)</f>
        <v>26</v>
      </c>
      <c r="H71" s="51">
        <f ca="1" t="shared" si="72"/>
        <v>19</v>
      </c>
      <c r="I71" s="51">
        <f ca="1" t="shared" si="72"/>
        <v>0</v>
      </c>
      <c r="J71" s="51">
        <f ca="1" t="shared" si="72"/>
        <v>0</v>
      </c>
      <c r="K71" s="51">
        <f ca="1" t="shared" si="72"/>
        <v>0</v>
      </c>
      <c r="L71" s="51">
        <f ca="1" t="shared" si="72"/>
        <v>6</v>
      </c>
      <c r="M71" s="51">
        <f ca="1" t="shared" si="72"/>
        <v>0</v>
      </c>
      <c r="N71" s="51">
        <f ca="1" t="shared" si="72"/>
        <v>0</v>
      </c>
      <c r="O71" s="51">
        <f ca="1" t="shared" si="72"/>
        <v>0</v>
      </c>
      <c r="P71" s="51">
        <f ca="1" t="shared" si="72"/>
        <v>0</v>
      </c>
      <c r="Q71" s="51">
        <f ca="1" t="shared" si="72"/>
        <v>0</v>
      </c>
      <c r="R71" s="51">
        <f ca="1" t="shared" si="72"/>
        <v>0</v>
      </c>
      <c r="S71" s="51">
        <f ca="1" t="shared" si="72"/>
        <v>0</v>
      </c>
      <c r="T71" s="51">
        <f ca="1" t="shared" si="72"/>
        <v>1</v>
      </c>
      <c r="U71" s="51">
        <f ca="1" t="shared" si="72"/>
        <v>20</v>
      </c>
      <c r="V71" s="51">
        <f ca="1" t="shared" si="72"/>
        <v>0</v>
      </c>
      <c r="W71" s="51">
        <f ca="1" t="shared" si="67"/>
        <v>0</v>
      </c>
      <c r="X71" s="316" t="str">
        <f ca="1" t="shared" si="69"/>
        <v>事假 14小时(04/11 09:00-04/13 18:00);事假 28小时(04/14 09:00-04/17 18:00)</v>
      </c>
    </row>
    <row r="72" s="349" customFormat="1" ht="22" customHeight="1" spans="1:24">
      <c r="A72" s="401" t="s">
        <v>184</v>
      </c>
      <c r="B72" s="370" t="s">
        <v>185</v>
      </c>
      <c r="C72" s="370">
        <v>4</v>
      </c>
      <c r="D72" s="370" t="s">
        <v>167</v>
      </c>
      <c r="E72" s="298" t="s">
        <v>119</v>
      </c>
      <c r="F72" s="371">
        <v>45595</v>
      </c>
      <c r="G72" s="51">
        <f ca="1" t="shared" ref="G72:V72" si="73">VLOOKUP($B72,INDIRECT($D72&amp;"!$AG$1:$AY$66"),MATCH(G$1,INDIRECT($D72&amp;"!$AG$1:$AY$1"),0),0)</f>
        <v>26</v>
      </c>
      <c r="H72" s="51">
        <f ca="1" t="shared" si="73"/>
        <v>25</v>
      </c>
      <c r="I72" s="51">
        <f ca="1" t="shared" si="73"/>
        <v>0</v>
      </c>
      <c r="J72" s="51">
        <f ca="1" t="shared" si="73"/>
        <v>0</v>
      </c>
      <c r="K72" s="51">
        <f ca="1" t="shared" si="73"/>
        <v>0</v>
      </c>
      <c r="L72" s="51">
        <f ca="1" t="shared" si="73"/>
        <v>0</v>
      </c>
      <c r="M72" s="51">
        <f ca="1" t="shared" si="73"/>
        <v>0</v>
      </c>
      <c r="N72" s="51">
        <f ca="1" t="shared" si="73"/>
        <v>0</v>
      </c>
      <c r="O72" s="51">
        <f ca="1" t="shared" si="73"/>
        <v>0</v>
      </c>
      <c r="P72" s="51">
        <f ca="1" t="shared" si="73"/>
        <v>0</v>
      </c>
      <c r="Q72" s="51">
        <f ca="1" t="shared" si="73"/>
        <v>0</v>
      </c>
      <c r="R72" s="51">
        <f ca="1" t="shared" si="73"/>
        <v>0</v>
      </c>
      <c r="S72" s="51">
        <f ca="1" t="shared" si="73"/>
        <v>0</v>
      </c>
      <c r="T72" s="51">
        <f ca="1" t="shared" si="73"/>
        <v>1</v>
      </c>
      <c r="U72" s="51">
        <f ca="1" t="shared" si="73"/>
        <v>26</v>
      </c>
      <c r="V72" s="51">
        <f ca="1" t="shared" si="73"/>
        <v>0</v>
      </c>
      <c r="W72" s="51">
        <f ca="1" t="shared" si="67"/>
        <v>200</v>
      </c>
      <c r="X72" s="316" t="str">
        <f ca="1" t="shared" si="69"/>
        <v>全勤</v>
      </c>
    </row>
    <row r="73" s="349" customFormat="1" ht="22" customHeight="1" spans="1:24">
      <c r="A73" s="401" t="s">
        <v>186</v>
      </c>
      <c r="B73" s="51" t="s">
        <v>187</v>
      </c>
      <c r="C73" s="370">
        <v>4</v>
      </c>
      <c r="D73" s="370" t="s">
        <v>167</v>
      </c>
      <c r="E73" s="298" t="s">
        <v>119</v>
      </c>
      <c r="F73" s="371"/>
      <c r="G73" s="51">
        <f ca="1" t="shared" ref="G73:V73" si="74">VLOOKUP($B73,INDIRECT($D73&amp;"!$AG$1:$AY$66"),MATCH(G$1,INDIRECT($D73&amp;"!$AG$1:$AY$1"),0),0)</f>
        <v>26</v>
      </c>
      <c r="H73" s="51">
        <f ca="1" t="shared" si="74"/>
        <v>25</v>
      </c>
      <c r="I73" s="51">
        <f ca="1" t="shared" si="74"/>
        <v>0</v>
      </c>
      <c r="J73" s="51">
        <f ca="1" t="shared" si="74"/>
        <v>0</v>
      </c>
      <c r="K73" s="51">
        <f ca="1" t="shared" si="74"/>
        <v>0</v>
      </c>
      <c r="L73" s="51">
        <f ca="1" t="shared" si="74"/>
        <v>0</v>
      </c>
      <c r="M73" s="51">
        <f ca="1" t="shared" si="74"/>
        <v>0</v>
      </c>
      <c r="N73" s="51">
        <f ca="1" t="shared" si="74"/>
        <v>0</v>
      </c>
      <c r="O73" s="51">
        <f ca="1" t="shared" si="74"/>
        <v>0</v>
      </c>
      <c r="P73" s="51">
        <f ca="1" t="shared" si="74"/>
        <v>0</v>
      </c>
      <c r="Q73" s="51">
        <f ca="1" t="shared" si="74"/>
        <v>0</v>
      </c>
      <c r="R73" s="51">
        <f ca="1" t="shared" si="74"/>
        <v>0</v>
      </c>
      <c r="S73" s="51">
        <f ca="1" t="shared" si="74"/>
        <v>0</v>
      </c>
      <c r="T73" s="51">
        <f ca="1" t="shared" si="74"/>
        <v>1</v>
      </c>
      <c r="U73" s="51">
        <f ca="1" t="shared" si="74"/>
        <v>26</v>
      </c>
      <c r="V73" s="51">
        <f ca="1" t="shared" si="74"/>
        <v>0</v>
      </c>
      <c r="W73" s="51">
        <f ca="1" t="shared" si="67"/>
        <v>200</v>
      </c>
      <c r="X73" s="316" t="str">
        <f ca="1" t="shared" si="69"/>
        <v>全勤</v>
      </c>
    </row>
    <row r="74" s="349" customFormat="1" ht="22" customHeight="1" spans="1:24">
      <c r="A74" s="401" t="s">
        <v>188</v>
      </c>
      <c r="B74" s="51" t="s">
        <v>189</v>
      </c>
      <c r="C74" s="370">
        <v>4</v>
      </c>
      <c r="D74" s="370" t="s">
        <v>167</v>
      </c>
      <c r="E74" s="298" t="s">
        <v>119</v>
      </c>
      <c r="F74" s="371"/>
      <c r="G74" s="51">
        <f ca="1" t="shared" ref="G74:V74" si="75">VLOOKUP($B74,INDIRECT($D74&amp;"!$AG$1:$AY$66"),MATCH(G$1,INDIRECT($D74&amp;"!$AG$1:$AY$1"),0),0)</f>
        <v>26</v>
      </c>
      <c r="H74" s="51">
        <f ca="1" t="shared" si="75"/>
        <v>25</v>
      </c>
      <c r="I74" s="51">
        <f ca="1" t="shared" si="75"/>
        <v>46</v>
      </c>
      <c r="J74" s="51">
        <f ca="1" t="shared" si="75"/>
        <v>0</v>
      </c>
      <c r="K74" s="51">
        <f ca="1" t="shared" si="75"/>
        <v>0</v>
      </c>
      <c r="L74" s="51">
        <f ca="1" t="shared" si="75"/>
        <v>0</v>
      </c>
      <c r="M74" s="51">
        <f ca="1" t="shared" si="75"/>
        <v>0</v>
      </c>
      <c r="N74" s="51">
        <f ca="1" t="shared" si="75"/>
        <v>0</v>
      </c>
      <c r="O74" s="51">
        <f ca="1" t="shared" si="75"/>
        <v>0</v>
      </c>
      <c r="P74" s="51">
        <f ca="1" t="shared" si="75"/>
        <v>0</v>
      </c>
      <c r="Q74" s="51">
        <f ca="1" t="shared" si="75"/>
        <v>0</v>
      </c>
      <c r="R74" s="51">
        <f ca="1" t="shared" si="75"/>
        <v>0</v>
      </c>
      <c r="S74" s="51">
        <f ca="1" t="shared" si="75"/>
        <v>0</v>
      </c>
      <c r="T74" s="51">
        <f ca="1" t="shared" si="75"/>
        <v>1</v>
      </c>
      <c r="U74" s="51">
        <f ca="1" t="shared" si="75"/>
        <v>26</v>
      </c>
      <c r="V74" s="51">
        <f ca="1" t="shared" si="75"/>
        <v>50</v>
      </c>
      <c r="W74" s="51">
        <f ca="1" t="shared" si="67"/>
        <v>0</v>
      </c>
      <c r="X74" s="316" t="str">
        <f ca="1" t="shared" si="69"/>
        <v>迟到6次共46分钟，按人力行政制度一个月内迟到累计30-60分钟（包含60），乐捐50元。</v>
      </c>
    </row>
    <row r="75" s="349" customFormat="1" ht="22" customHeight="1" spans="1:24">
      <c r="A75" s="401" t="s">
        <v>190</v>
      </c>
      <c r="B75" s="51" t="s">
        <v>191</v>
      </c>
      <c r="C75" s="370">
        <v>4</v>
      </c>
      <c r="D75" s="370" t="s">
        <v>167</v>
      </c>
      <c r="E75" s="298" t="s">
        <v>141</v>
      </c>
      <c r="F75" s="371"/>
      <c r="G75" s="51">
        <f ca="1" t="shared" ref="G75:V75" si="76">VLOOKUP($B75,INDIRECT($D75&amp;"!$AG$1:$AY$66"),MATCH(G$1,INDIRECT($D75&amp;"!$AG$1:$AY$1"),0),0)</f>
        <v>26</v>
      </c>
      <c r="H75" s="51">
        <f ca="1" t="shared" si="76"/>
        <v>25</v>
      </c>
      <c r="I75" s="51">
        <f ca="1" t="shared" si="76"/>
        <v>0</v>
      </c>
      <c r="J75" s="51">
        <f ca="1" t="shared" si="76"/>
        <v>0</v>
      </c>
      <c r="K75" s="51">
        <f ca="1" t="shared" si="76"/>
        <v>0</v>
      </c>
      <c r="L75" s="51">
        <f ca="1" t="shared" si="76"/>
        <v>0</v>
      </c>
      <c r="M75" s="51">
        <f ca="1" t="shared" si="76"/>
        <v>0</v>
      </c>
      <c r="N75" s="51">
        <f ca="1" t="shared" si="76"/>
        <v>0</v>
      </c>
      <c r="O75" s="51">
        <f ca="1" t="shared" si="76"/>
        <v>0</v>
      </c>
      <c r="P75" s="51">
        <f ca="1" t="shared" si="76"/>
        <v>0</v>
      </c>
      <c r="Q75" s="51">
        <f ca="1" t="shared" si="76"/>
        <v>0</v>
      </c>
      <c r="R75" s="51">
        <f ca="1" t="shared" si="76"/>
        <v>0</v>
      </c>
      <c r="S75" s="51">
        <f ca="1" t="shared" si="76"/>
        <v>0</v>
      </c>
      <c r="T75" s="51">
        <f ca="1" t="shared" si="76"/>
        <v>1</v>
      </c>
      <c r="U75" s="51">
        <f ca="1" t="shared" si="76"/>
        <v>26</v>
      </c>
      <c r="V75" s="51">
        <f ca="1" t="shared" si="76"/>
        <v>0</v>
      </c>
      <c r="W75" s="51">
        <f ca="1" t="shared" si="67"/>
        <v>200</v>
      </c>
      <c r="X75" s="316" t="str">
        <f ca="1" t="shared" si="69"/>
        <v>全勤，外出 0.5天(04/22 下午-04/22 下午)</v>
      </c>
    </row>
    <row r="76" s="349" customFormat="1" ht="22" customHeight="1" spans="1:24">
      <c r="A76" s="370" t="s">
        <v>192</v>
      </c>
      <c r="B76" s="51" t="s">
        <v>193</v>
      </c>
      <c r="C76" s="370">
        <v>4</v>
      </c>
      <c r="D76" s="370" t="s">
        <v>194</v>
      </c>
      <c r="E76" s="370" t="s">
        <v>195</v>
      </c>
      <c r="F76" s="371">
        <v>44109</v>
      </c>
      <c r="G76" s="51">
        <f ca="1" t="shared" ref="G76:V76" si="77">VLOOKUP($B76,INDIRECT($D76&amp;"!$AG$1:$AY$66"),MATCH(G$1,INDIRECT($D76&amp;"!$AG$1:$AY$1"),0),0)</f>
        <v>24</v>
      </c>
      <c r="H76" s="51">
        <f ca="1" t="shared" si="77"/>
        <v>23</v>
      </c>
      <c r="I76" s="51">
        <f ca="1" t="shared" si="77"/>
        <v>0</v>
      </c>
      <c r="J76" s="51">
        <f ca="1" t="shared" si="77"/>
        <v>0</v>
      </c>
      <c r="K76" s="51">
        <f ca="1" t="shared" si="77"/>
        <v>0</v>
      </c>
      <c r="L76" s="51">
        <f ca="1" t="shared" si="77"/>
        <v>0</v>
      </c>
      <c r="M76" s="51">
        <f ca="1" t="shared" si="77"/>
        <v>0</v>
      </c>
      <c r="N76" s="51">
        <f ca="1" t="shared" si="77"/>
        <v>0</v>
      </c>
      <c r="O76" s="51">
        <f ca="1" t="shared" si="77"/>
        <v>0</v>
      </c>
      <c r="P76" s="51">
        <f ca="1" t="shared" si="77"/>
        <v>0</v>
      </c>
      <c r="Q76" s="51">
        <f ca="1" t="shared" si="77"/>
        <v>0</v>
      </c>
      <c r="R76" s="51">
        <f ca="1" t="shared" si="77"/>
        <v>0</v>
      </c>
      <c r="S76" s="51">
        <f ca="1" t="shared" si="77"/>
        <v>0</v>
      </c>
      <c r="T76" s="51">
        <f ca="1" t="shared" si="77"/>
        <v>1</v>
      </c>
      <c r="U76" s="51">
        <f ca="1" t="shared" si="77"/>
        <v>24</v>
      </c>
      <c r="V76" s="51">
        <f ca="1" t="shared" si="77"/>
        <v>0</v>
      </c>
      <c r="W76" s="51">
        <f ca="1" t="shared" si="67"/>
        <v>200</v>
      </c>
      <c r="X76" s="316" t="str">
        <f ca="1" t="shared" si="69"/>
        <v>全勤</v>
      </c>
    </row>
    <row r="77" s="349" customFormat="1" ht="22" customHeight="1" spans="1:24">
      <c r="A77" s="370" t="s">
        <v>196</v>
      </c>
      <c r="B77" s="51" t="s">
        <v>197</v>
      </c>
      <c r="C77" s="370">
        <v>4</v>
      </c>
      <c r="D77" s="370" t="s">
        <v>194</v>
      </c>
      <c r="E77" s="370" t="s">
        <v>195</v>
      </c>
      <c r="F77" s="371">
        <v>42167</v>
      </c>
      <c r="G77" s="51">
        <f ca="1" t="shared" ref="G77:V77" si="78">VLOOKUP($B77,INDIRECT($D77&amp;"!$AG$1:$AY$66"),MATCH(G$1,INDIRECT($D77&amp;"!$AG$1:$AY$1"),0),0)</f>
        <v>24</v>
      </c>
      <c r="H77" s="51">
        <f ca="1" t="shared" si="78"/>
        <v>21.44</v>
      </c>
      <c r="I77" s="51">
        <f ca="1" t="shared" si="78"/>
        <v>0</v>
      </c>
      <c r="J77" s="51">
        <f ca="1" t="shared" si="78"/>
        <v>0</v>
      </c>
      <c r="K77" s="51">
        <f ca="1" t="shared" si="78"/>
        <v>0</v>
      </c>
      <c r="L77" s="51">
        <f ca="1" t="shared" si="78"/>
        <v>0</v>
      </c>
      <c r="M77" s="51">
        <f ca="1" t="shared" si="78"/>
        <v>1.56</v>
      </c>
      <c r="N77" s="51">
        <f ca="1" t="shared" si="78"/>
        <v>0</v>
      </c>
      <c r="O77" s="51">
        <f ca="1" t="shared" si="78"/>
        <v>0</v>
      </c>
      <c r="P77" s="51">
        <f ca="1" t="shared" si="78"/>
        <v>0</v>
      </c>
      <c r="Q77" s="51">
        <f ca="1" t="shared" si="78"/>
        <v>0</v>
      </c>
      <c r="R77" s="51">
        <f ca="1" t="shared" si="78"/>
        <v>0</v>
      </c>
      <c r="S77" s="51">
        <f ca="1" t="shared" si="78"/>
        <v>0</v>
      </c>
      <c r="T77" s="51">
        <f ca="1" t="shared" si="78"/>
        <v>1</v>
      </c>
      <c r="U77" s="51">
        <f ca="1" t="shared" si="78"/>
        <v>24</v>
      </c>
      <c r="V77" s="51">
        <f ca="1" t="shared" si="78"/>
        <v>0</v>
      </c>
      <c r="W77" s="51">
        <f ca="1" t="shared" si="67"/>
        <v>200</v>
      </c>
      <c r="X77" s="316" t="str">
        <f ca="1" t="shared" si="69"/>
        <v>全勤，年假 4.5小时(04/18 14:00-04/18 18:30);年假 8小时(04/23 09:00-04/23 18:30)</v>
      </c>
    </row>
    <row r="78" s="349" customFormat="1" ht="22" customHeight="1" spans="1:24">
      <c r="A78" s="370" t="s">
        <v>198</v>
      </c>
      <c r="B78" s="51" t="s">
        <v>199</v>
      </c>
      <c r="C78" s="370">
        <v>4</v>
      </c>
      <c r="D78" s="370" t="s">
        <v>194</v>
      </c>
      <c r="E78" s="370" t="s">
        <v>195</v>
      </c>
      <c r="F78" s="371">
        <v>44587</v>
      </c>
      <c r="G78" s="51">
        <f ca="1" t="shared" ref="G78:V78" si="79">VLOOKUP($B78,INDIRECT($D78&amp;"!$AG$1:$AY$66"),MATCH(G$1,INDIRECT($D78&amp;"!$AG$1:$AY$1"),0),0)</f>
        <v>24</v>
      </c>
      <c r="H78" s="51">
        <f ca="1" t="shared" si="79"/>
        <v>22</v>
      </c>
      <c r="I78" s="51">
        <f ca="1" t="shared" si="79"/>
        <v>0</v>
      </c>
      <c r="J78" s="51">
        <f ca="1" t="shared" si="79"/>
        <v>0</v>
      </c>
      <c r="K78" s="51">
        <f ca="1" t="shared" si="79"/>
        <v>0</v>
      </c>
      <c r="L78" s="51">
        <f ca="1" t="shared" si="79"/>
        <v>0</v>
      </c>
      <c r="M78" s="51">
        <f ca="1" t="shared" si="79"/>
        <v>1</v>
      </c>
      <c r="N78" s="51">
        <f ca="1" t="shared" si="79"/>
        <v>0</v>
      </c>
      <c r="O78" s="51">
        <f ca="1" t="shared" si="79"/>
        <v>0</v>
      </c>
      <c r="P78" s="51">
        <f ca="1" t="shared" si="79"/>
        <v>0</v>
      </c>
      <c r="Q78" s="51">
        <f ca="1" t="shared" si="79"/>
        <v>0</v>
      </c>
      <c r="R78" s="51">
        <f ca="1" t="shared" si="79"/>
        <v>0</v>
      </c>
      <c r="S78" s="51">
        <f ca="1" t="shared" si="79"/>
        <v>0</v>
      </c>
      <c r="T78" s="51">
        <f ca="1" t="shared" si="79"/>
        <v>1</v>
      </c>
      <c r="U78" s="51">
        <f ca="1" t="shared" si="79"/>
        <v>24</v>
      </c>
      <c r="V78" s="51">
        <f ca="1" t="shared" si="79"/>
        <v>0</v>
      </c>
      <c r="W78" s="51">
        <f ca="1" t="shared" si="67"/>
        <v>200</v>
      </c>
      <c r="X78" s="316" t="str">
        <f ca="1" t="shared" si="69"/>
        <v>全勤，年假 8小时(04/18 09:00-04/18 18:30)</v>
      </c>
    </row>
    <row r="79" s="349" customFormat="1" ht="22" customHeight="1" spans="1:24">
      <c r="A79" s="370" t="s">
        <v>200</v>
      </c>
      <c r="B79" s="376" t="s">
        <v>201</v>
      </c>
      <c r="C79" s="370">
        <v>4</v>
      </c>
      <c r="D79" s="370" t="s">
        <v>194</v>
      </c>
      <c r="E79" s="370" t="s">
        <v>88</v>
      </c>
      <c r="F79" s="371">
        <v>44562</v>
      </c>
      <c r="G79" s="51">
        <f ca="1" t="shared" ref="G79:V79" si="80">VLOOKUP($B79,INDIRECT($D79&amp;"!$AG$1:$AY$66"),MATCH(G$1,INDIRECT($D79&amp;"!$AG$1:$AY$1"),0),0)</f>
        <v>24</v>
      </c>
      <c r="H79" s="51">
        <f ca="1" t="shared" si="80"/>
        <v>11.5</v>
      </c>
      <c r="I79" s="51">
        <f ca="1" t="shared" si="80"/>
        <v>0</v>
      </c>
      <c r="J79" s="51">
        <f ca="1" t="shared" si="80"/>
        <v>0</v>
      </c>
      <c r="K79" s="51">
        <f ca="1" t="shared" si="80"/>
        <v>0</v>
      </c>
      <c r="L79" s="51">
        <f ca="1" t="shared" si="80"/>
        <v>0</v>
      </c>
      <c r="M79" s="51">
        <f ca="1" t="shared" si="80"/>
        <v>0</v>
      </c>
      <c r="N79" s="51">
        <f ca="1" t="shared" si="80"/>
        <v>0</v>
      </c>
      <c r="O79" s="51">
        <f ca="1" t="shared" si="80"/>
        <v>0</v>
      </c>
      <c r="P79" s="51">
        <f ca="1" t="shared" si="80"/>
        <v>0</v>
      </c>
      <c r="Q79" s="51">
        <f ca="1" t="shared" si="80"/>
        <v>0</v>
      </c>
      <c r="R79" s="51">
        <f ca="1" t="shared" si="80"/>
        <v>0</v>
      </c>
      <c r="S79" s="51">
        <f ca="1" t="shared" si="80"/>
        <v>0</v>
      </c>
      <c r="T79" s="51">
        <f ca="1" t="shared" si="80"/>
        <v>0</v>
      </c>
      <c r="U79" s="51">
        <f ca="1" t="shared" si="80"/>
        <v>11.5</v>
      </c>
      <c r="V79" s="51">
        <f ca="1" t="shared" si="80"/>
        <v>0</v>
      </c>
      <c r="W79" s="51">
        <f ca="1" t="shared" si="67"/>
        <v>0</v>
      </c>
      <c r="X79" s="316" t="str">
        <f ca="1" t="shared" si="69"/>
        <v>产假 158天(01/26 上午-07/02 下午)，4月份居家办公每日出勤4小时计0.5天出勤</v>
      </c>
    </row>
    <row r="80" s="349" customFormat="1" ht="22" customHeight="1" spans="1:24">
      <c r="A80" s="370" t="s">
        <v>202</v>
      </c>
      <c r="B80" s="285" t="s">
        <v>203</v>
      </c>
      <c r="C80" s="370">
        <v>4</v>
      </c>
      <c r="D80" s="370" t="s">
        <v>194</v>
      </c>
      <c r="E80" s="370" t="s">
        <v>195</v>
      </c>
      <c r="F80" s="371">
        <v>45419</v>
      </c>
      <c r="G80" s="51">
        <f ca="1" t="shared" ref="G80:V80" si="81">VLOOKUP($B80,INDIRECT($D80&amp;"!$AG$1:$AY$66"),MATCH(G$1,INDIRECT($D80&amp;"!$AG$1:$AY$1"),0),0)</f>
        <v>24</v>
      </c>
      <c r="H80" s="51">
        <f ca="1" t="shared" si="81"/>
        <v>22</v>
      </c>
      <c r="I80" s="51">
        <f ca="1" t="shared" si="81"/>
        <v>0</v>
      </c>
      <c r="J80" s="51">
        <f ca="1" t="shared" si="81"/>
        <v>0</v>
      </c>
      <c r="K80" s="51">
        <f ca="1" t="shared" si="81"/>
        <v>0</v>
      </c>
      <c r="L80" s="51">
        <f ca="1" t="shared" si="81"/>
        <v>0</v>
      </c>
      <c r="M80" s="51">
        <f ca="1" t="shared" si="81"/>
        <v>1</v>
      </c>
      <c r="N80" s="51">
        <f ca="1" t="shared" si="81"/>
        <v>0</v>
      </c>
      <c r="O80" s="51">
        <f ca="1" t="shared" si="81"/>
        <v>0</v>
      </c>
      <c r="P80" s="51">
        <f ca="1" t="shared" si="81"/>
        <v>0</v>
      </c>
      <c r="Q80" s="51">
        <f ca="1" t="shared" si="81"/>
        <v>0</v>
      </c>
      <c r="R80" s="51">
        <f ca="1" t="shared" si="81"/>
        <v>0</v>
      </c>
      <c r="S80" s="51">
        <f ca="1" t="shared" si="81"/>
        <v>0</v>
      </c>
      <c r="T80" s="51">
        <f ca="1" t="shared" si="81"/>
        <v>1</v>
      </c>
      <c r="U80" s="51">
        <f ca="1" t="shared" si="81"/>
        <v>24</v>
      </c>
      <c r="V80" s="51">
        <f ca="1" t="shared" si="81"/>
        <v>0</v>
      </c>
      <c r="W80" s="51">
        <f ca="1" t="shared" si="67"/>
        <v>200</v>
      </c>
      <c r="X80" s="316" t="str">
        <f ca="1" t="shared" si="69"/>
        <v>全勤，年假 8小时(04/08 09:00-04/08 18:30)</v>
      </c>
    </row>
    <row r="81" s="349" customFormat="1" ht="22" customHeight="1" spans="1:24">
      <c r="A81" s="401" t="s">
        <v>204</v>
      </c>
      <c r="B81" s="285" t="s">
        <v>205</v>
      </c>
      <c r="C81" s="370">
        <v>4</v>
      </c>
      <c r="D81" s="370" t="s">
        <v>206</v>
      </c>
      <c r="E81" s="370" t="s">
        <v>39</v>
      </c>
      <c r="F81" s="371">
        <v>45024</v>
      </c>
      <c r="G81" s="51">
        <f ca="1" t="shared" ref="G81:V81" si="82">VLOOKUP($B81,INDIRECT($D81&amp;"!$AG$1:$AY$66"),MATCH(G$1,INDIRECT($D81&amp;"!$AG$1:$AY$1"),0),0)</f>
        <v>24</v>
      </c>
      <c r="H81" s="51">
        <f ca="1" t="shared" si="82"/>
        <v>22.56</v>
      </c>
      <c r="I81" s="51">
        <f ca="1" t="shared" si="82"/>
        <v>0</v>
      </c>
      <c r="J81" s="51">
        <f ca="1" t="shared" si="82"/>
        <v>0</v>
      </c>
      <c r="K81" s="51">
        <f ca="1" t="shared" si="82"/>
        <v>0</v>
      </c>
      <c r="L81" s="51">
        <f ca="1" t="shared" si="82"/>
        <v>0</v>
      </c>
      <c r="M81" s="51">
        <f ca="1" t="shared" si="82"/>
        <v>0.44</v>
      </c>
      <c r="N81" s="51">
        <f ca="1" t="shared" si="82"/>
        <v>0</v>
      </c>
      <c r="O81" s="51">
        <f ca="1" t="shared" si="82"/>
        <v>0</v>
      </c>
      <c r="P81" s="51">
        <f ca="1" t="shared" si="82"/>
        <v>0</v>
      </c>
      <c r="Q81" s="51">
        <f ca="1" t="shared" si="82"/>
        <v>0</v>
      </c>
      <c r="R81" s="51">
        <f ca="1" t="shared" si="82"/>
        <v>0</v>
      </c>
      <c r="S81" s="51">
        <f ca="1" t="shared" si="82"/>
        <v>0</v>
      </c>
      <c r="T81" s="51">
        <f ca="1" t="shared" si="82"/>
        <v>1</v>
      </c>
      <c r="U81" s="51">
        <f ca="1" t="shared" si="82"/>
        <v>24</v>
      </c>
      <c r="V81" s="51">
        <f ca="1" t="shared" si="82"/>
        <v>0</v>
      </c>
      <c r="W81" s="51">
        <f ca="1" t="shared" si="67"/>
        <v>200</v>
      </c>
      <c r="X81" s="316" t="str">
        <f ca="1" t="shared" si="69"/>
        <v>全勤，年假 3.5小时(04/27 09:00-04/27 12:30)</v>
      </c>
    </row>
    <row r="82" s="349" customFormat="1" ht="22" customHeight="1" spans="1:24">
      <c r="A82" s="401" t="s">
        <v>207</v>
      </c>
      <c r="B82" s="285" t="s">
        <v>208</v>
      </c>
      <c r="C82" s="370">
        <v>4</v>
      </c>
      <c r="D82" s="370" t="s">
        <v>206</v>
      </c>
      <c r="E82" s="370" t="s">
        <v>39</v>
      </c>
      <c r="F82" s="371">
        <v>45986</v>
      </c>
      <c r="G82" s="51">
        <f ca="1" t="shared" ref="G82:V82" si="83">VLOOKUP($B82,INDIRECT($D82&amp;"!$AG$1:$AY$66"),MATCH(G$1,INDIRECT($D82&amp;"!$AG$1:$AY$1"),0),0)</f>
        <v>24</v>
      </c>
      <c r="H82" s="51">
        <f ca="1" t="shared" si="83"/>
        <v>23</v>
      </c>
      <c r="I82" s="51">
        <f ca="1" t="shared" si="83"/>
        <v>0</v>
      </c>
      <c r="J82" s="51">
        <f ca="1" t="shared" si="83"/>
        <v>0</v>
      </c>
      <c r="K82" s="51">
        <f ca="1" t="shared" si="83"/>
        <v>0</v>
      </c>
      <c r="L82" s="51">
        <f ca="1" t="shared" si="83"/>
        <v>0</v>
      </c>
      <c r="M82" s="51">
        <f ca="1" t="shared" si="83"/>
        <v>0</v>
      </c>
      <c r="N82" s="51">
        <f ca="1" t="shared" si="83"/>
        <v>0</v>
      </c>
      <c r="O82" s="51">
        <f ca="1" t="shared" si="83"/>
        <v>0</v>
      </c>
      <c r="P82" s="51">
        <f ca="1" t="shared" si="83"/>
        <v>0</v>
      </c>
      <c r="Q82" s="51">
        <f ca="1" t="shared" si="83"/>
        <v>0</v>
      </c>
      <c r="R82" s="51">
        <f ca="1" t="shared" si="83"/>
        <v>0</v>
      </c>
      <c r="S82" s="51">
        <f ca="1" t="shared" si="83"/>
        <v>0</v>
      </c>
      <c r="T82" s="51">
        <f ca="1" t="shared" si="83"/>
        <v>1</v>
      </c>
      <c r="U82" s="51">
        <f ca="1" t="shared" si="83"/>
        <v>24</v>
      </c>
      <c r="V82" s="51">
        <f ca="1" t="shared" si="83"/>
        <v>0</v>
      </c>
      <c r="W82" s="51">
        <f ca="1" t="shared" si="67"/>
        <v>200</v>
      </c>
      <c r="X82" s="316" t="str">
        <f ca="1" t="shared" si="69"/>
        <v>全勤</v>
      </c>
    </row>
    <row r="83" s="349" customFormat="1" ht="22" customHeight="1" spans="1:24">
      <c r="A83" s="401" t="s">
        <v>209</v>
      </c>
      <c r="B83" s="285" t="s">
        <v>210</v>
      </c>
      <c r="C83" s="370">
        <v>4</v>
      </c>
      <c r="D83" s="370" t="s">
        <v>206</v>
      </c>
      <c r="E83" s="370" t="s">
        <v>76</v>
      </c>
      <c r="F83" s="371">
        <v>43631</v>
      </c>
      <c r="G83" s="51">
        <f ca="1" t="shared" ref="G83:V83" si="84">VLOOKUP($B83,INDIRECT($D83&amp;"!$AG$1:$AY$66"),MATCH(G$1,INDIRECT($D83&amp;"!$AG$1:$AY$1"),0),0)</f>
        <v>24</v>
      </c>
      <c r="H83" s="51">
        <f ca="1" t="shared" si="84"/>
        <v>22.56</v>
      </c>
      <c r="I83" s="51">
        <f ca="1" t="shared" si="84"/>
        <v>0</v>
      </c>
      <c r="J83" s="51">
        <f ca="1" t="shared" si="84"/>
        <v>0</v>
      </c>
      <c r="K83" s="51">
        <f ca="1" t="shared" si="84"/>
        <v>0</v>
      </c>
      <c r="L83" s="51">
        <f ca="1" t="shared" si="84"/>
        <v>0</v>
      </c>
      <c r="M83" s="51">
        <f ca="1" t="shared" si="84"/>
        <v>0.44</v>
      </c>
      <c r="N83" s="51">
        <f ca="1" t="shared" si="84"/>
        <v>0</v>
      </c>
      <c r="O83" s="51">
        <f ca="1" t="shared" si="84"/>
        <v>0</v>
      </c>
      <c r="P83" s="51">
        <f ca="1" t="shared" si="84"/>
        <v>0</v>
      </c>
      <c r="Q83" s="51">
        <f ca="1" t="shared" si="84"/>
        <v>0</v>
      </c>
      <c r="R83" s="51">
        <f ca="1" t="shared" si="84"/>
        <v>0</v>
      </c>
      <c r="S83" s="51">
        <f ca="1" t="shared" si="84"/>
        <v>0</v>
      </c>
      <c r="T83" s="51">
        <f ca="1" t="shared" si="84"/>
        <v>1</v>
      </c>
      <c r="U83" s="51">
        <f ca="1" t="shared" si="84"/>
        <v>24</v>
      </c>
      <c r="V83" s="51">
        <f ca="1" t="shared" si="84"/>
        <v>0</v>
      </c>
      <c r="W83" s="51">
        <f ca="1" t="shared" si="67"/>
        <v>200</v>
      </c>
      <c r="X83" s="316" t="str">
        <f ca="1" t="shared" si="69"/>
        <v>全勤，年假 3.5小时(04/18 15:00-04/18 18:30)</v>
      </c>
    </row>
    <row r="84" s="349" customFormat="1" ht="22" customHeight="1" spans="1:24">
      <c r="A84" s="401" t="s">
        <v>211</v>
      </c>
      <c r="B84" s="370" t="s">
        <v>212</v>
      </c>
      <c r="C84" s="370">
        <v>4</v>
      </c>
      <c r="D84" s="370" t="s">
        <v>206</v>
      </c>
      <c r="E84" s="370" t="s">
        <v>57</v>
      </c>
      <c r="F84" s="371">
        <v>45573</v>
      </c>
      <c r="G84" s="51">
        <f ca="1" t="shared" ref="G84:V84" si="85">VLOOKUP($B84,INDIRECT($D84&amp;"!$AG$1:$AY$66"),MATCH(G$1,INDIRECT($D84&amp;"!$AG$1:$AY$1"),0),0)</f>
        <v>24</v>
      </c>
      <c r="H84" s="51">
        <f ca="1" t="shared" si="85"/>
        <v>21</v>
      </c>
      <c r="I84" s="51">
        <f ca="1" t="shared" si="85"/>
        <v>0</v>
      </c>
      <c r="J84" s="51">
        <f ca="1" t="shared" si="85"/>
        <v>4</v>
      </c>
      <c r="K84" s="51">
        <f ca="1" t="shared" si="85"/>
        <v>0</v>
      </c>
      <c r="L84" s="51">
        <f ca="1" t="shared" si="85"/>
        <v>1</v>
      </c>
      <c r="M84" s="51">
        <f ca="1" t="shared" si="85"/>
        <v>1</v>
      </c>
      <c r="N84" s="51">
        <f ca="1" t="shared" si="85"/>
        <v>0</v>
      </c>
      <c r="O84" s="51">
        <f ca="1" t="shared" si="85"/>
        <v>0</v>
      </c>
      <c r="P84" s="51">
        <f ca="1" t="shared" si="85"/>
        <v>0</v>
      </c>
      <c r="Q84" s="51">
        <f ca="1" t="shared" si="85"/>
        <v>0</v>
      </c>
      <c r="R84" s="51">
        <f ca="1" t="shared" si="85"/>
        <v>0</v>
      </c>
      <c r="S84" s="51">
        <f ca="1" t="shared" si="85"/>
        <v>0</v>
      </c>
      <c r="T84" s="51">
        <f ca="1" t="shared" si="85"/>
        <v>1</v>
      </c>
      <c r="U84" s="51">
        <f ca="1" t="shared" si="85"/>
        <v>23</v>
      </c>
      <c r="V84" s="51">
        <f ca="1" t="shared" si="85"/>
        <v>50</v>
      </c>
      <c r="W84" s="51">
        <f ca="1" t="shared" si="67"/>
        <v>0</v>
      </c>
      <c r="X84" s="316" t="str">
        <f ca="1" t="shared" si="69"/>
        <v>年假 8小时(04/02 09:00-04/02 18:30);事假 8小时(04/18 09:00-04/18 18:30)，缺卡累计4次，按人力行政制度月缺卡超3次需乐捐50元</v>
      </c>
    </row>
    <row r="85" s="349" customFormat="1" ht="22" customHeight="1" spans="1:24">
      <c r="A85" s="401" t="s">
        <v>213</v>
      </c>
      <c r="B85" s="285" t="s">
        <v>214</v>
      </c>
      <c r="C85" s="370">
        <v>4</v>
      </c>
      <c r="D85" s="370" t="s">
        <v>206</v>
      </c>
      <c r="E85" s="370" t="s">
        <v>57</v>
      </c>
      <c r="F85" s="371">
        <v>45444</v>
      </c>
      <c r="G85" s="51">
        <f ca="1" t="shared" ref="G85:V85" si="86">VLOOKUP($B85,INDIRECT($D85&amp;"!$AG$1:$AY$66"),MATCH(G$1,INDIRECT($D85&amp;"!$AG$1:$AY$1"),0),0)</f>
        <v>24</v>
      </c>
      <c r="H85" s="51">
        <f ca="1" t="shared" si="86"/>
        <v>22.44</v>
      </c>
      <c r="I85" s="51">
        <f ca="1" t="shared" si="86"/>
        <v>0</v>
      </c>
      <c r="J85" s="51">
        <f ca="1" t="shared" si="86"/>
        <v>0</v>
      </c>
      <c r="K85" s="51">
        <f ca="1" t="shared" si="86"/>
        <v>0</v>
      </c>
      <c r="L85" s="51">
        <f ca="1" t="shared" si="86"/>
        <v>0</v>
      </c>
      <c r="M85" s="51">
        <f ca="1" t="shared" si="86"/>
        <v>0.56</v>
      </c>
      <c r="N85" s="51">
        <f ca="1" t="shared" si="86"/>
        <v>0</v>
      </c>
      <c r="O85" s="51">
        <f ca="1" t="shared" si="86"/>
        <v>0</v>
      </c>
      <c r="P85" s="51">
        <f ca="1" t="shared" si="86"/>
        <v>0</v>
      </c>
      <c r="Q85" s="51">
        <f ca="1" t="shared" si="86"/>
        <v>0</v>
      </c>
      <c r="R85" s="51">
        <f ca="1" t="shared" si="86"/>
        <v>0</v>
      </c>
      <c r="S85" s="51">
        <f ca="1" t="shared" si="86"/>
        <v>0</v>
      </c>
      <c r="T85" s="51">
        <f ca="1" t="shared" si="86"/>
        <v>1</v>
      </c>
      <c r="U85" s="51">
        <f ca="1" t="shared" si="86"/>
        <v>24</v>
      </c>
      <c r="V85" s="51">
        <f ca="1" t="shared" si="86"/>
        <v>0</v>
      </c>
      <c r="W85" s="51">
        <f ca="1" t="shared" si="67"/>
        <v>200</v>
      </c>
      <c r="X85" s="316" t="str">
        <f ca="1" t="shared" si="69"/>
        <v>全勤，年假 4.5小时(04/27 14:00-04/27 18:30)</v>
      </c>
    </row>
    <row r="86" s="349" customFormat="1" ht="22" customHeight="1" spans="1:24">
      <c r="A86" s="401" t="s">
        <v>215</v>
      </c>
      <c r="B86" s="285" t="s">
        <v>216</v>
      </c>
      <c r="C86" s="370">
        <v>4</v>
      </c>
      <c r="D86" s="370" t="s">
        <v>206</v>
      </c>
      <c r="E86" s="370" t="s">
        <v>217</v>
      </c>
      <c r="F86" s="371">
        <v>43521</v>
      </c>
      <c r="G86" s="51">
        <f ca="1" t="shared" ref="G86:V86" si="87">VLOOKUP($B86,INDIRECT($D86&amp;"!$AG$1:$AY$66"),MATCH(G$1,INDIRECT($D86&amp;"!$AG$1:$AY$1"),0),0)</f>
        <v>24</v>
      </c>
      <c r="H86" s="51">
        <f ca="1" t="shared" si="87"/>
        <v>21.56</v>
      </c>
      <c r="I86" s="51">
        <f ca="1" t="shared" si="87"/>
        <v>0</v>
      </c>
      <c r="J86" s="51">
        <f ca="1" t="shared" si="87"/>
        <v>0</v>
      </c>
      <c r="K86" s="51">
        <f ca="1" t="shared" si="87"/>
        <v>0</v>
      </c>
      <c r="L86" s="51">
        <f ca="1" t="shared" si="87"/>
        <v>1</v>
      </c>
      <c r="M86" s="51">
        <f ca="1" t="shared" si="87"/>
        <v>0.44</v>
      </c>
      <c r="N86" s="51">
        <f ca="1" t="shared" si="87"/>
        <v>0</v>
      </c>
      <c r="O86" s="51">
        <f ca="1" t="shared" si="87"/>
        <v>0</v>
      </c>
      <c r="P86" s="51">
        <f ca="1" t="shared" si="87"/>
        <v>0</v>
      </c>
      <c r="Q86" s="51">
        <f ca="1" t="shared" si="87"/>
        <v>0</v>
      </c>
      <c r="R86" s="51">
        <f ca="1" t="shared" si="87"/>
        <v>0</v>
      </c>
      <c r="S86" s="51">
        <f ca="1" t="shared" si="87"/>
        <v>0</v>
      </c>
      <c r="T86" s="51">
        <f ca="1" t="shared" si="87"/>
        <v>1</v>
      </c>
      <c r="U86" s="51">
        <f ca="1" t="shared" si="87"/>
        <v>23</v>
      </c>
      <c r="V86" s="51">
        <f ca="1" t="shared" si="87"/>
        <v>0</v>
      </c>
      <c r="W86" s="51">
        <f ca="1" t="shared" si="67"/>
        <v>0</v>
      </c>
      <c r="X86" s="316" t="str">
        <f ca="1" t="shared" si="69"/>
        <v>年假 3.5小时(04/17 09:00-04/17 12:30);事假 8小时(04/30 09:00-04/30 18:30)</v>
      </c>
    </row>
    <row r="87" s="349" customFormat="1" ht="22" customHeight="1" spans="1:24">
      <c r="A87" s="401" t="s">
        <v>218</v>
      </c>
      <c r="B87" s="285" t="s">
        <v>219</v>
      </c>
      <c r="C87" s="370">
        <v>4</v>
      </c>
      <c r="D87" s="370" t="s">
        <v>206</v>
      </c>
      <c r="E87" s="370" t="s">
        <v>217</v>
      </c>
      <c r="F87" s="371">
        <v>44754</v>
      </c>
      <c r="G87" s="51">
        <f ca="1" t="shared" ref="G87:V87" si="88">VLOOKUP($B87,INDIRECT($D87&amp;"!$AG$1:$AY$66"),MATCH(G$1,INDIRECT($D87&amp;"!$AG$1:$AY$1"),0),0)</f>
        <v>24</v>
      </c>
      <c r="H87" s="51">
        <f ca="1" t="shared" si="88"/>
        <v>23</v>
      </c>
      <c r="I87" s="51">
        <f ca="1" t="shared" si="88"/>
        <v>0</v>
      </c>
      <c r="J87" s="51">
        <f ca="1" t="shared" si="88"/>
        <v>0</v>
      </c>
      <c r="K87" s="51">
        <f ca="1" t="shared" si="88"/>
        <v>0</v>
      </c>
      <c r="L87" s="51">
        <f ca="1" t="shared" si="88"/>
        <v>0</v>
      </c>
      <c r="M87" s="51">
        <f ca="1" t="shared" si="88"/>
        <v>0</v>
      </c>
      <c r="N87" s="51">
        <f ca="1" t="shared" si="88"/>
        <v>0</v>
      </c>
      <c r="O87" s="51">
        <f ca="1" t="shared" si="88"/>
        <v>0</v>
      </c>
      <c r="P87" s="51">
        <f ca="1" t="shared" si="88"/>
        <v>0</v>
      </c>
      <c r="Q87" s="51">
        <f ca="1" t="shared" si="88"/>
        <v>0</v>
      </c>
      <c r="R87" s="51">
        <f ca="1" t="shared" si="88"/>
        <v>0</v>
      </c>
      <c r="S87" s="51">
        <f ca="1" t="shared" si="88"/>
        <v>0</v>
      </c>
      <c r="T87" s="51">
        <f ca="1" t="shared" si="88"/>
        <v>1</v>
      </c>
      <c r="U87" s="51">
        <f ca="1" t="shared" si="88"/>
        <v>24</v>
      </c>
      <c r="V87" s="51">
        <f ca="1" t="shared" si="88"/>
        <v>0</v>
      </c>
      <c r="W87" s="51">
        <f ca="1" t="shared" si="67"/>
        <v>200</v>
      </c>
      <c r="X87" s="316" t="str">
        <f ca="1" t="shared" si="69"/>
        <v>全勤</v>
      </c>
    </row>
    <row r="88" s="349" customFormat="1" ht="22" customHeight="1" spans="1:24">
      <c r="A88" s="401" t="s">
        <v>220</v>
      </c>
      <c r="B88" s="285" t="s">
        <v>221</v>
      </c>
      <c r="C88" s="370">
        <v>4</v>
      </c>
      <c r="D88" s="370" t="s">
        <v>206</v>
      </c>
      <c r="E88" s="370" t="s">
        <v>217</v>
      </c>
      <c r="F88" s="371">
        <v>44358</v>
      </c>
      <c r="G88" s="51">
        <f ca="1" t="shared" ref="G88:V88" si="89">VLOOKUP($B88,INDIRECT($D88&amp;"!$AG$1:$AY$66"),MATCH(G$1,INDIRECT($D88&amp;"!$AG$1:$AY$1"),0),0)</f>
        <v>24</v>
      </c>
      <c r="H88" s="51">
        <f ca="1" t="shared" si="89"/>
        <v>22.44</v>
      </c>
      <c r="I88" s="51">
        <f ca="1" t="shared" si="89"/>
        <v>8</v>
      </c>
      <c r="J88" s="51">
        <f ca="1" t="shared" si="89"/>
        <v>0</v>
      </c>
      <c r="K88" s="51">
        <f ca="1" t="shared" si="89"/>
        <v>0</v>
      </c>
      <c r="L88" s="51">
        <f ca="1" t="shared" si="89"/>
        <v>0.56</v>
      </c>
      <c r="M88" s="51">
        <f ca="1" t="shared" si="89"/>
        <v>0</v>
      </c>
      <c r="N88" s="51">
        <f ca="1" t="shared" si="89"/>
        <v>0</v>
      </c>
      <c r="O88" s="51">
        <f ca="1" t="shared" si="89"/>
        <v>0</v>
      </c>
      <c r="P88" s="51">
        <f ca="1" t="shared" si="89"/>
        <v>0</v>
      </c>
      <c r="Q88" s="51">
        <f ca="1" t="shared" si="89"/>
        <v>0</v>
      </c>
      <c r="R88" s="51">
        <f ca="1" t="shared" si="89"/>
        <v>0</v>
      </c>
      <c r="S88" s="51">
        <f ca="1" t="shared" si="89"/>
        <v>0</v>
      </c>
      <c r="T88" s="51">
        <f ca="1" t="shared" si="89"/>
        <v>1</v>
      </c>
      <c r="U88" s="51">
        <f ca="1" t="shared" si="89"/>
        <v>23.44</v>
      </c>
      <c r="V88" s="51">
        <f ca="1" t="shared" si="89"/>
        <v>0</v>
      </c>
      <c r="W88" s="51">
        <f ca="1" t="shared" si="67"/>
        <v>0</v>
      </c>
      <c r="X88" s="316" t="str">
        <f ca="1" t="shared" si="69"/>
        <v>事假 4.5小时(04/30 14:00-04/30 18:30)；迟到2次共8分钟</v>
      </c>
    </row>
    <row r="89" s="349" customFormat="1" ht="22" customHeight="1" spans="1:24">
      <c r="A89" s="401" t="s">
        <v>222</v>
      </c>
      <c r="B89" s="285" t="s">
        <v>223</v>
      </c>
      <c r="C89" s="370">
        <v>4</v>
      </c>
      <c r="D89" s="370" t="s">
        <v>206</v>
      </c>
      <c r="E89" s="370" t="s">
        <v>217</v>
      </c>
      <c r="F89" s="371">
        <v>44365</v>
      </c>
      <c r="G89" s="51">
        <f ca="1" t="shared" ref="G89:V89" si="90">VLOOKUP($B89,INDIRECT($D89&amp;"!$AG$1:$AY$66"),MATCH(G$1,INDIRECT($D89&amp;"!$AG$1:$AY$1"),0),0)</f>
        <v>24</v>
      </c>
      <c r="H89" s="51">
        <f ca="1" t="shared" si="90"/>
        <v>22</v>
      </c>
      <c r="I89" s="51">
        <f ca="1" t="shared" si="90"/>
        <v>0</v>
      </c>
      <c r="J89" s="51">
        <f ca="1" t="shared" si="90"/>
        <v>0</v>
      </c>
      <c r="K89" s="51">
        <f ca="1" t="shared" si="90"/>
        <v>0</v>
      </c>
      <c r="L89" s="51">
        <f ca="1" t="shared" si="90"/>
        <v>0</v>
      </c>
      <c r="M89" s="51">
        <f ca="1" t="shared" si="90"/>
        <v>1</v>
      </c>
      <c r="N89" s="51">
        <f ca="1" t="shared" si="90"/>
        <v>0</v>
      </c>
      <c r="O89" s="51">
        <f ca="1" t="shared" si="90"/>
        <v>0</v>
      </c>
      <c r="P89" s="51">
        <f ca="1" t="shared" si="90"/>
        <v>0</v>
      </c>
      <c r="Q89" s="51">
        <f ca="1" t="shared" si="90"/>
        <v>0</v>
      </c>
      <c r="R89" s="51">
        <f ca="1" t="shared" si="90"/>
        <v>0</v>
      </c>
      <c r="S89" s="51">
        <f ca="1" t="shared" si="90"/>
        <v>0</v>
      </c>
      <c r="T89" s="51">
        <f ca="1" t="shared" si="90"/>
        <v>1</v>
      </c>
      <c r="U89" s="51">
        <f ca="1" t="shared" si="90"/>
        <v>24</v>
      </c>
      <c r="V89" s="51">
        <f ca="1" t="shared" si="90"/>
        <v>0</v>
      </c>
      <c r="W89" s="51">
        <f ca="1" t="shared" si="67"/>
        <v>200</v>
      </c>
      <c r="X89" s="316" t="str">
        <f ca="1" t="shared" si="69"/>
        <v>全勤，年假 8小时(04/27 09:00-04/27 18:30)</v>
      </c>
    </row>
    <row r="90" s="349" customFormat="1" ht="22" customHeight="1" spans="1:24">
      <c r="A90" s="401" t="s">
        <v>224</v>
      </c>
      <c r="B90" s="285" t="s">
        <v>225</v>
      </c>
      <c r="C90" s="370">
        <v>4</v>
      </c>
      <c r="D90" s="370" t="s">
        <v>206</v>
      </c>
      <c r="E90" s="370" t="s">
        <v>217</v>
      </c>
      <c r="F90" s="371">
        <v>45291</v>
      </c>
      <c r="G90" s="51">
        <f ca="1" t="shared" ref="G90:V90" si="91">VLOOKUP($B90,INDIRECT($D90&amp;"!$AG$1:$AY$66"),MATCH(G$1,INDIRECT($D90&amp;"!$AG$1:$AY$1"),0),0)</f>
        <v>24</v>
      </c>
      <c r="H90" s="51">
        <f ca="1" t="shared" si="91"/>
        <v>23</v>
      </c>
      <c r="I90" s="51">
        <f ca="1" t="shared" si="91"/>
        <v>0</v>
      </c>
      <c r="J90" s="51">
        <f ca="1" t="shared" si="91"/>
        <v>0</v>
      </c>
      <c r="K90" s="51">
        <f ca="1" t="shared" si="91"/>
        <v>0</v>
      </c>
      <c r="L90" s="51">
        <f ca="1" t="shared" si="91"/>
        <v>0</v>
      </c>
      <c r="M90" s="51">
        <f ca="1" t="shared" si="91"/>
        <v>0</v>
      </c>
      <c r="N90" s="51">
        <f ca="1" t="shared" si="91"/>
        <v>0</v>
      </c>
      <c r="O90" s="51">
        <f ca="1" t="shared" si="91"/>
        <v>0</v>
      </c>
      <c r="P90" s="51">
        <f ca="1" t="shared" si="91"/>
        <v>0</v>
      </c>
      <c r="Q90" s="51">
        <f ca="1" t="shared" si="91"/>
        <v>0</v>
      </c>
      <c r="R90" s="51">
        <f ca="1" t="shared" si="91"/>
        <v>0</v>
      </c>
      <c r="S90" s="51">
        <f ca="1" t="shared" si="91"/>
        <v>0</v>
      </c>
      <c r="T90" s="51">
        <f ca="1" t="shared" si="91"/>
        <v>1</v>
      </c>
      <c r="U90" s="51">
        <f ca="1" t="shared" si="91"/>
        <v>24</v>
      </c>
      <c r="V90" s="51">
        <f ca="1" t="shared" si="91"/>
        <v>0</v>
      </c>
      <c r="W90" s="51">
        <f ca="1" t="shared" si="67"/>
        <v>200</v>
      </c>
      <c r="X90" s="316" t="str">
        <f ca="1" t="shared" si="69"/>
        <v>全勤</v>
      </c>
    </row>
    <row r="91" s="349" customFormat="1" ht="22" customHeight="1" spans="1:24">
      <c r="A91" s="401" t="s">
        <v>226</v>
      </c>
      <c r="B91" s="298" t="s">
        <v>227</v>
      </c>
      <c r="C91" s="370">
        <v>4</v>
      </c>
      <c r="D91" s="370" t="s">
        <v>206</v>
      </c>
      <c r="E91" s="370" t="s">
        <v>217</v>
      </c>
      <c r="F91" s="371">
        <v>45884</v>
      </c>
      <c r="G91" s="51">
        <f ca="1" t="shared" ref="G91:V91" si="92">VLOOKUP($B91,INDIRECT($D91&amp;"!$AG$1:$AY$66"),MATCH(G$1,INDIRECT($D91&amp;"!$AG$1:$AY$1"),0),0)</f>
        <v>24</v>
      </c>
      <c r="H91" s="51">
        <f ca="1" t="shared" si="92"/>
        <v>23</v>
      </c>
      <c r="I91" s="51">
        <f ca="1" t="shared" si="92"/>
        <v>0</v>
      </c>
      <c r="J91" s="51">
        <f ca="1" t="shared" si="92"/>
        <v>0</v>
      </c>
      <c r="K91" s="51">
        <f ca="1" t="shared" si="92"/>
        <v>0</v>
      </c>
      <c r="L91" s="51">
        <f ca="1" t="shared" si="92"/>
        <v>0</v>
      </c>
      <c r="M91" s="51">
        <f ca="1" t="shared" si="92"/>
        <v>0</v>
      </c>
      <c r="N91" s="51">
        <f ca="1" t="shared" si="92"/>
        <v>0</v>
      </c>
      <c r="O91" s="51">
        <f ca="1" t="shared" si="92"/>
        <v>0</v>
      </c>
      <c r="P91" s="51">
        <f ca="1" t="shared" si="92"/>
        <v>0</v>
      </c>
      <c r="Q91" s="51">
        <f ca="1" t="shared" si="92"/>
        <v>0</v>
      </c>
      <c r="R91" s="51">
        <f ca="1" t="shared" si="92"/>
        <v>0</v>
      </c>
      <c r="S91" s="51">
        <f ca="1" t="shared" si="92"/>
        <v>0</v>
      </c>
      <c r="T91" s="51">
        <f ca="1" t="shared" si="92"/>
        <v>1</v>
      </c>
      <c r="U91" s="51">
        <f ca="1" t="shared" si="92"/>
        <v>24</v>
      </c>
      <c r="V91" s="51">
        <f ca="1" t="shared" si="92"/>
        <v>0</v>
      </c>
      <c r="W91" s="51">
        <f ca="1" t="shared" si="67"/>
        <v>200</v>
      </c>
      <c r="X91" s="316" t="str">
        <f ca="1" t="shared" si="69"/>
        <v>全勤</v>
      </c>
    </row>
    <row r="92" s="349" customFormat="1" ht="22" customHeight="1" spans="1:24">
      <c r="A92" s="401" t="s">
        <v>228</v>
      </c>
      <c r="B92" s="285" t="s">
        <v>229</v>
      </c>
      <c r="C92" s="370">
        <v>4</v>
      </c>
      <c r="D92" s="370" t="s">
        <v>206</v>
      </c>
      <c r="E92" s="370" t="s">
        <v>99</v>
      </c>
      <c r="F92" s="371">
        <v>44211</v>
      </c>
      <c r="G92" s="51">
        <f ca="1" t="shared" ref="G92:V92" si="93">VLOOKUP($B92,INDIRECT($D92&amp;"!$AG$1:$AY$66"),MATCH(G$1,INDIRECT($D92&amp;"!$AG$1:$AY$1"),0),0)</f>
        <v>24</v>
      </c>
      <c r="H92" s="51">
        <f ca="1" t="shared" si="93"/>
        <v>20</v>
      </c>
      <c r="I92" s="51">
        <f ca="1" t="shared" si="93"/>
        <v>4</v>
      </c>
      <c r="J92" s="51">
        <f ca="1" t="shared" si="93"/>
        <v>0</v>
      </c>
      <c r="K92" s="51">
        <f ca="1" t="shared" si="93"/>
        <v>0</v>
      </c>
      <c r="L92" s="51">
        <f ca="1" t="shared" si="93"/>
        <v>3</v>
      </c>
      <c r="M92" s="51">
        <f ca="1" t="shared" si="93"/>
        <v>0</v>
      </c>
      <c r="N92" s="51">
        <f ca="1" t="shared" si="93"/>
        <v>0</v>
      </c>
      <c r="O92" s="51">
        <f ca="1" t="shared" si="93"/>
        <v>0</v>
      </c>
      <c r="P92" s="51">
        <f ca="1" t="shared" si="93"/>
        <v>0</v>
      </c>
      <c r="Q92" s="51">
        <f ca="1" t="shared" si="93"/>
        <v>0</v>
      </c>
      <c r="R92" s="51">
        <f ca="1" t="shared" si="93"/>
        <v>0</v>
      </c>
      <c r="S92" s="51">
        <f ca="1" t="shared" si="93"/>
        <v>0</v>
      </c>
      <c r="T92" s="51">
        <f ca="1" t="shared" si="93"/>
        <v>1</v>
      </c>
      <c r="U92" s="51">
        <f ca="1" t="shared" si="93"/>
        <v>21</v>
      </c>
      <c r="V92" s="51">
        <f ca="1" t="shared" si="93"/>
        <v>0</v>
      </c>
      <c r="W92" s="51">
        <f ca="1" t="shared" si="67"/>
        <v>0</v>
      </c>
      <c r="X92" s="316" t="str">
        <f ca="1" t="shared" si="69"/>
        <v>事假 24小时(04/28 09:00-04/30 18:30)；迟到3次共4分钟</v>
      </c>
    </row>
    <row r="93" s="349" customFormat="1" ht="22" customHeight="1" spans="1:24">
      <c r="A93" s="401" t="s">
        <v>230</v>
      </c>
      <c r="B93" s="285" t="s">
        <v>231</v>
      </c>
      <c r="C93" s="370">
        <v>4</v>
      </c>
      <c r="D93" s="370" t="s">
        <v>206</v>
      </c>
      <c r="E93" s="370" t="s">
        <v>99</v>
      </c>
      <c r="F93" s="371">
        <v>44613</v>
      </c>
      <c r="G93" s="51">
        <f ca="1" t="shared" ref="G93:V93" si="94">VLOOKUP($B93,INDIRECT($D93&amp;"!$AG$1:$AY$66"),MATCH(G$1,INDIRECT($D93&amp;"!$AG$1:$AY$1"),0),0)</f>
        <v>24</v>
      </c>
      <c r="H93" s="51">
        <f ca="1" t="shared" si="94"/>
        <v>23</v>
      </c>
      <c r="I93" s="51">
        <f ca="1" t="shared" si="94"/>
        <v>0</v>
      </c>
      <c r="J93" s="51">
        <f ca="1" t="shared" si="94"/>
        <v>0</v>
      </c>
      <c r="K93" s="51">
        <f ca="1" t="shared" si="94"/>
        <v>0</v>
      </c>
      <c r="L93" s="51">
        <f ca="1" t="shared" si="94"/>
        <v>0</v>
      </c>
      <c r="M93" s="51">
        <f ca="1" t="shared" si="94"/>
        <v>0</v>
      </c>
      <c r="N93" s="51">
        <f ca="1" t="shared" si="94"/>
        <v>0</v>
      </c>
      <c r="O93" s="51">
        <f ca="1" t="shared" si="94"/>
        <v>0</v>
      </c>
      <c r="P93" s="51">
        <f ca="1" t="shared" si="94"/>
        <v>0</v>
      </c>
      <c r="Q93" s="51">
        <f ca="1" t="shared" si="94"/>
        <v>0</v>
      </c>
      <c r="R93" s="51">
        <f ca="1" t="shared" si="94"/>
        <v>0</v>
      </c>
      <c r="S93" s="51">
        <f ca="1" t="shared" si="94"/>
        <v>0</v>
      </c>
      <c r="T93" s="51">
        <f ca="1" t="shared" si="94"/>
        <v>1</v>
      </c>
      <c r="U93" s="51">
        <f ca="1" t="shared" si="94"/>
        <v>24</v>
      </c>
      <c r="V93" s="51">
        <f ca="1" t="shared" si="94"/>
        <v>0</v>
      </c>
      <c r="W93" s="51">
        <f ca="1" t="shared" si="67"/>
        <v>200</v>
      </c>
      <c r="X93" s="316" t="str">
        <f ca="1" t="shared" si="69"/>
        <v>全勤</v>
      </c>
    </row>
    <row r="94" s="349" customFormat="1" ht="22" customHeight="1" spans="1:24">
      <c r="A94" s="401" t="s">
        <v>232</v>
      </c>
      <c r="B94" s="285" t="s">
        <v>233</v>
      </c>
      <c r="C94" s="370">
        <v>4</v>
      </c>
      <c r="D94" s="370" t="s">
        <v>206</v>
      </c>
      <c r="E94" s="370" t="s">
        <v>234</v>
      </c>
      <c r="F94" s="371">
        <v>45454</v>
      </c>
      <c r="G94" s="51">
        <f ca="1" t="shared" ref="G94:V94" si="95">VLOOKUP($B94,INDIRECT($D94&amp;"!$AG$1:$AY$66"),MATCH(G$1,INDIRECT($D94&amp;"!$AG$1:$AY$1"),0),0)</f>
        <v>24</v>
      </c>
      <c r="H94" s="51">
        <f ca="1" t="shared" si="95"/>
        <v>22.12</v>
      </c>
      <c r="I94" s="51">
        <f ca="1" t="shared" si="95"/>
        <v>0</v>
      </c>
      <c r="J94" s="51">
        <f ca="1" t="shared" si="95"/>
        <v>0</v>
      </c>
      <c r="K94" s="51">
        <f ca="1" t="shared" si="95"/>
        <v>0</v>
      </c>
      <c r="L94" s="51">
        <f ca="1" t="shared" si="95"/>
        <v>0</v>
      </c>
      <c r="M94" s="51">
        <f ca="1" t="shared" si="95"/>
        <v>0.88</v>
      </c>
      <c r="N94" s="51">
        <f ca="1" t="shared" si="95"/>
        <v>0</v>
      </c>
      <c r="O94" s="51">
        <f ca="1" t="shared" si="95"/>
        <v>0</v>
      </c>
      <c r="P94" s="51">
        <f ca="1" t="shared" si="95"/>
        <v>0</v>
      </c>
      <c r="Q94" s="51">
        <f ca="1" t="shared" si="95"/>
        <v>0</v>
      </c>
      <c r="R94" s="51">
        <f ca="1" t="shared" si="95"/>
        <v>0</v>
      </c>
      <c r="S94" s="51">
        <f ca="1" t="shared" si="95"/>
        <v>0</v>
      </c>
      <c r="T94" s="51">
        <f ca="1" t="shared" si="95"/>
        <v>1</v>
      </c>
      <c r="U94" s="51">
        <f ca="1" t="shared" si="95"/>
        <v>24</v>
      </c>
      <c r="V94" s="51">
        <f ca="1" t="shared" si="95"/>
        <v>0</v>
      </c>
      <c r="W94" s="51">
        <f ca="1" t="shared" si="67"/>
        <v>200</v>
      </c>
      <c r="X94" s="316" t="str">
        <f ca="1" t="shared" si="69"/>
        <v>全勤，年假 3.5小时(04/13 09:00-04/13 12:30);年假 3.5小时(04/28 09:00-04/28 12:30)</v>
      </c>
    </row>
    <row r="95" s="349" customFormat="1" ht="22" customHeight="1" spans="1:24">
      <c r="A95" s="401" t="s">
        <v>235</v>
      </c>
      <c r="B95" s="285" t="s">
        <v>236</v>
      </c>
      <c r="C95" s="370">
        <v>4</v>
      </c>
      <c r="D95" s="370" t="s">
        <v>206</v>
      </c>
      <c r="E95" s="370" t="s">
        <v>234</v>
      </c>
      <c r="F95" s="371">
        <v>43252</v>
      </c>
      <c r="G95" s="51">
        <f ca="1" t="shared" ref="G95:V95" si="96">VLOOKUP($B95,INDIRECT($D95&amp;"!$AG$1:$AY$66"),MATCH(G$1,INDIRECT($D95&amp;"!$AG$1:$AY$1"),0),0)</f>
        <v>24</v>
      </c>
      <c r="H95" s="51">
        <f ca="1" t="shared" si="96"/>
        <v>23</v>
      </c>
      <c r="I95" s="51">
        <f ca="1" t="shared" si="96"/>
        <v>0</v>
      </c>
      <c r="J95" s="51">
        <f ca="1" t="shared" si="96"/>
        <v>0</v>
      </c>
      <c r="K95" s="51">
        <f ca="1" t="shared" si="96"/>
        <v>0</v>
      </c>
      <c r="L95" s="51">
        <f ca="1" t="shared" si="96"/>
        <v>0</v>
      </c>
      <c r="M95" s="51">
        <f ca="1" t="shared" si="96"/>
        <v>0</v>
      </c>
      <c r="N95" s="51">
        <f ca="1" t="shared" si="96"/>
        <v>0</v>
      </c>
      <c r="O95" s="51">
        <f ca="1" t="shared" si="96"/>
        <v>0</v>
      </c>
      <c r="P95" s="51">
        <f ca="1" t="shared" si="96"/>
        <v>0</v>
      </c>
      <c r="Q95" s="51">
        <f ca="1" t="shared" si="96"/>
        <v>0</v>
      </c>
      <c r="R95" s="51">
        <f ca="1" t="shared" si="96"/>
        <v>0</v>
      </c>
      <c r="S95" s="51">
        <f ca="1" t="shared" si="96"/>
        <v>0</v>
      </c>
      <c r="T95" s="51">
        <f ca="1" t="shared" si="96"/>
        <v>1</v>
      </c>
      <c r="U95" s="51">
        <f ca="1" t="shared" si="96"/>
        <v>24</v>
      </c>
      <c r="V95" s="51">
        <f ca="1" t="shared" si="96"/>
        <v>0</v>
      </c>
      <c r="W95" s="51">
        <f ca="1" t="shared" si="67"/>
        <v>200</v>
      </c>
      <c r="X95" s="316" t="str">
        <f ca="1" t="shared" si="69"/>
        <v>全勤</v>
      </c>
    </row>
    <row r="96" s="349" customFormat="1" ht="22" customHeight="1" spans="1:24">
      <c r="A96" s="401" t="s">
        <v>237</v>
      </c>
      <c r="B96" s="51" t="s">
        <v>238</v>
      </c>
      <c r="C96" s="370">
        <v>4</v>
      </c>
      <c r="D96" s="370" t="s">
        <v>206</v>
      </c>
      <c r="E96" s="370" t="s">
        <v>234</v>
      </c>
      <c r="F96" s="371"/>
      <c r="G96" s="51">
        <f ca="1" t="shared" ref="G96:V96" si="97">VLOOKUP($B96,INDIRECT($D96&amp;"!$AG$1:$AY$66"),MATCH(G$1,INDIRECT($D96&amp;"!$AG$1:$AY$1"),0),0)</f>
        <v>24</v>
      </c>
      <c r="H96" s="51">
        <f ca="1" t="shared" si="97"/>
        <v>23</v>
      </c>
      <c r="I96" s="51">
        <f ca="1" t="shared" si="97"/>
        <v>0</v>
      </c>
      <c r="J96" s="51">
        <f ca="1" t="shared" si="97"/>
        <v>0</v>
      </c>
      <c r="K96" s="51">
        <f ca="1" t="shared" si="97"/>
        <v>0</v>
      </c>
      <c r="L96" s="51">
        <f ca="1" t="shared" si="97"/>
        <v>0</v>
      </c>
      <c r="M96" s="51">
        <f ca="1" t="shared" si="97"/>
        <v>0</v>
      </c>
      <c r="N96" s="51">
        <f ca="1" t="shared" si="97"/>
        <v>0</v>
      </c>
      <c r="O96" s="51">
        <f ca="1" t="shared" si="97"/>
        <v>0</v>
      </c>
      <c r="P96" s="51">
        <f ca="1" t="shared" si="97"/>
        <v>0</v>
      </c>
      <c r="Q96" s="51">
        <f ca="1" t="shared" si="97"/>
        <v>0</v>
      </c>
      <c r="R96" s="51">
        <f ca="1" t="shared" si="97"/>
        <v>0</v>
      </c>
      <c r="S96" s="51">
        <f ca="1" t="shared" si="97"/>
        <v>0</v>
      </c>
      <c r="T96" s="51">
        <f ca="1" t="shared" si="97"/>
        <v>1</v>
      </c>
      <c r="U96" s="51">
        <f ca="1" t="shared" si="97"/>
        <v>24</v>
      </c>
      <c r="V96" s="51">
        <f ca="1" t="shared" si="97"/>
        <v>0</v>
      </c>
      <c r="W96" s="51">
        <f ca="1" t="shared" si="67"/>
        <v>200</v>
      </c>
      <c r="X96" s="316" t="str">
        <f ca="1" t="shared" si="69"/>
        <v>全勤</v>
      </c>
    </row>
    <row r="97" s="349" customFormat="1" ht="22" customHeight="1" spans="1:24">
      <c r="A97" s="401" t="s">
        <v>239</v>
      </c>
      <c r="B97" s="51" t="s">
        <v>240</v>
      </c>
      <c r="C97" s="370">
        <v>4</v>
      </c>
      <c r="D97" s="370" t="s">
        <v>206</v>
      </c>
      <c r="E97" s="370" t="s">
        <v>99</v>
      </c>
      <c r="F97" s="371"/>
      <c r="G97" s="51">
        <f ca="1" t="shared" ref="G97:V97" si="98">VLOOKUP($B97,INDIRECT($D97&amp;"!$AG$1:$AY$66"),MATCH(G$1,INDIRECT($D97&amp;"!$AG$1:$AY$1"),0),0)</f>
        <v>24</v>
      </c>
      <c r="H97" s="51">
        <f ca="1" t="shared" si="98"/>
        <v>23</v>
      </c>
      <c r="I97" s="51">
        <f ca="1" t="shared" si="98"/>
        <v>0</v>
      </c>
      <c r="J97" s="51">
        <f ca="1" t="shared" si="98"/>
        <v>0</v>
      </c>
      <c r="K97" s="51">
        <f ca="1" t="shared" si="98"/>
        <v>0</v>
      </c>
      <c r="L97" s="51">
        <f ca="1" t="shared" si="98"/>
        <v>0</v>
      </c>
      <c r="M97" s="51">
        <f ca="1" t="shared" si="98"/>
        <v>0</v>
      </c>
      <c r="N97" s="51">
        <f ca="1" t="shared" si="98"/>
        <v>0</v>
      </c>
      <c r="O97" s="51">
        <f ca="1" t="shared" si="98"/>
        <v>0</v>
      </c>
      <c r="P97" s="51">
        <f ca="1" t="shared" si="98"/>
        <v>0</v>
      </c>
      <c r="Q97" s="51">
        <f ca="1" t="shared" si="98"/>
        <v>0</v>
      </c>
      <c r="R97" s="51">
        <f ca="1" t="shared" si="98"/>
        <v>0</v>
      </c>
      <c r="S97" s="51">
        <f ca="1" t="shared" si="98"/>
        <v>0</v>
      </c>
      <c r="T97" s="51">
        <f ca="1" t="shared" si="98"/>
        <v>1</v>
      </c>
      <c r="U97" s="51">
        <f ca="1" t="shared" si="98"/>
        <v>24</v>
      </c>
      <c r="V97" s="51">
        <f ca="1" t="shared" si="98"/>
        <v>0</v>
      </c>
      <c r="W97" s="51">
        <f ca="1" t="shared" si="67"/>
        <v>200</v>
      </c>
      <c r="X97" s="316" t="str">
        <f ca="1" t="shared" si="69"/>
        <v>全勤</v>
      </c>
    </row>
    <row r="98" s="350" customFormat="1" ht="22" customHeight="1" spans="1:24">
      <c r="A98" s="401" t="s">
        <v>241</v>
      </c>
      <c r="B98" s="285" t="s">
        <v>242</v>
      </c>
      <c r="C98" s="370">
        <v>4</v>
      </c>
      <c r="D98" s="288" t="s">
        <v>243</v>
      </c>
      <c r="E98" s="374" t="s">
        <v>104</v>
      </c>
      <c r="F98" s="371">
        <v>45809</v>
      </c>
      <c r="G98" s="51">
        <f ca="1" t="shared" ref="G98:V98" si="99">VLOOKUP($B98,INDIRECT($D98&amp;"!$AG$1:$AY$66"),MATCH(G$1,INDIRECT($D98&amp;"!$AG$1:$AY$1"),0),0)</f>
        <v>24</v>
      </c>
      <c r="H98" s="51">
        <f ca="1" t="shared" si="99"/>
        <v>23</v>
      </c>
      <c r="I98" s="51">
        <f ca="1" t="shared" si="99"/>
        <v>0</v>
      </c>
      <c r="J98" s="51">
        <f ca="1" t="shared" si="99"/>
        <v>0</v>
      </c>
      <c r="K98" s="51">
        <f ca="1" t="shared" si="99"/>
        <v>0</v>
      </c>
      <c r="L98" s="51">
        <f ca="1" t="shared" si="99"/>
        <v>0</v>
      </c>
      <c r="M98" s="51">
        <f ca="1" t="shared" si="99"/>
        <v>0</v>
      </c>
      <c r="N98" s="51">
        <f ca="1" t="shared" si="99"/>
        <v>0</v>
      </c>
      <c r="O98" s="51">
        <f ca="1" t="shared" si="99"/>
        <v>0</v>
      </c>
      <c r="P98" s="51">
        <f ca="1" t="shared" si="99"/>
        <v>0</v>
      </c>
      <c r="Q98" s="51">
        <f ca="1" t="shared" si="99"/>
        <v>0</v>
      </c>
      <c r="R98" s="51">
        <f ca="1" t="shared" si="99"/>
        <v>0</v>
      </c>
      <c r="S98" s="51">
        <f ca="1" t="shared" si="99"/>
        <v>0</v>
      </c>
      <c r="T98" s="51">
        <f ca="1" t="shared" si="99"/>
        <v>1</v>
      </c>
      <c r="U98" s="51">
        <f ca="1" t="shared" si="99"/>
        <v>24</v>
      </c>
      <c r="V98" s="51">
        <f ca="1" t="shared" si="99"/>
        <v>0</v>
      </c>
      <c r="W98" s="51">
        <f ca="1" t="shared" si="67"/>
        <v>200</v>
      </c>
      <c r="X98" s="316" t="str">
        <f ca="1" t="shared" si="69"/>
        <v>全勤</v>
      </c>
    </row>
    <row r="99" s="349" customFormat="1" ht="22" customHeight="1" spans="1:24">
      <c r="A99" s="401" t="s">
        <v>244</v>
      </c>
      <c r="B99" s="285" t="s">
        <v>245</v>
      </c>
      <c r="C99" s="370">
        <v>4</v>
      </c>
      <c r="D99" s="288" t="s">
        <v>243</v>
      </c>
      <c r="E99" s="377" t="s">
        <v>104</v>
      </c>
      <c r="F99" s="371">
        <v>45748</v>
      </c>
      <c r="G99" s="51">
        <f ca="1" t="shared" ref="G99:V99" si="100">VLOOKUP($B99,INDIRECT($D99&amp;"!$AG$1:$AY$66"),MATCH(G$1,INDIRECT($D99&amp;"!$AG$1:$AY$1"),0),0)</f>
        <v>24</v>
      </c>
      <c r="H99" s="51">
        <f ca="1" t="shared" si="100"/>
        <v>23</v>
      </c>
      <c r="I99" s="51">
        <f ca="1" t="shared" si="100"/>
        <v>0</v>
      </c>
      <c r="J99" s="51">
        <f ca="1" t="shared" si="100"/>
        <v>0</v>
      </c>
      <c r="K99" s="51">
        <f ca="1" t="shared" si="100"/>
        <v>0</v>
      </c>
      <c r="L99" s="51">
        <f ca="1" t="shared" si="100"/>
        <v>0</v>
      </c>
      <c r="M99" s="51">
        <f ca="1" t="shared" si="100"/>
        <v>0</v>
      </c>
      <c r="N99" s="51">
        <f ca="1" t="shared" si="100"/>
        <v>0</v>
      </c>
      <c r="O99" s="51">
        <f ca="1" t="shared" si="100"/>
        <v>0</v>
      </c>
      <c r="P99" s="51">
        <f ca="1" t="shared" si="100"/>
        <v>0</v>
      </c>
      <c r="Q99" s="51">
        <f ca="1" t="shared" si="100"/>
        <v>0</v>
      </c>
      <c r="R99" s="51">
        <f ca="1" t="shared" si="100"/>
        <v>0</v>
      </c>
      <c r="S99" s="51">
        <f ca="1" t="shared" si="100"/>
        <v>0</v>
      </c>
      <c r="T99" s="51">
        <f ca="1" t="shared" si="100"/>
        <v>1</v>
      </c>
      <c r="U99" s="51">
        <f ca="1" t="shared" si="100"/>
        <v>24</v>
      </c>
      <c r="V99" s="51">
        <f ca="1" t="shared" si="100"/>
        <v>0</v>
      </c>
      <c r="W99" s="51">
        <f ca="1" t="shared" si="67"/>
        <v>200</v>
      </c>
      <c r="X99" s="316" t="str">
        <f ca="1" t="shared" si="69"/>
        <v>全勤</v>
      </c>
    </row>
    <row r="100" s="349" customFormat="1" ht="22" customHeight="1" spans="1:24">
      <c r="A100" s="370" t="s">
        <v>246</v>
      </c>
      <c r="B100" s="378" t="s">
        <v>247</v>
      </c>
      <c r="C100" s="370">
        <v>4</v>
      </c>
      <c r="D100" s="370" t="s">
        <v>27</v>
      </c>
      <c r="E100" s="370" t="s">
        <v>248</v>
      </c>
      <c r="F100" s="371">
        <v>42307</v>
      </c>
      <c r="G100" s="51">
        <v>24</v>
      </c>
      <c r="H100" s="51">
        <v>23</v>
      </c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>
        <v>1</v>
      </c>
      <c r="U100" s="51">
        <v>24</v>
      </c>
      <c r="V100" s="51"/>
      <c r="W100" s="51"/>
      <c r="X100" s="305"/>
    </row>
    <row r="101" s="349" customFormat="1" ht="22" customHeight="1" spans="1:24">
      <c r="A101" s="401" t="s">
        <v>249</v>
      </c>
      <c r="B101" s="378" t="s">
        <v>250</v>
      </c>
      <c r="C101" s="370">
        <v>4</v>
      </c>
      <c r="D101" s="370" t="s">
        <v>27</v>
      </c>
      <c r="E101" s="370" t="s">
        <v>248</v>
      </c>
      <c r="F101" s="371">
        <v>42430</v>
      </c>
      <c r="G101" s="51">
        <v>24</v>
      </c>
      <c r="H101" s="51">
        <v>23</v>
      </c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>
        <v>1</v>
      </c>
      <c r="U101" s="51">
        <v>24</v>
      </c>
      <c r="V101" s="51"/>
      <c r="W101" s="51"/>
      <c r="X101" s="305"/>
    </row>
    <row r="102" s="349" customFormat="1" ht="22" customHeight="1" spans="1:24">
      <c r="A102" s="370" t="s">
        <v>251</v>
      </c>
      <c r="B102" s="378" t="s">
        <v>252</v>
      </c>
      <c r="C102" s="370">
        <v>4</v>
      </c>
      <c r="D102" s="370" t="s">
        <v>27</v>
      </c>
      <c r="E102" s="370" t="s">
        <v>28</v>
      </c>
      <c r="F102" s="371">
        <v>42307</v>
      </c>
      <c r="G102" s="51">
        <v>24</v>
      </c>
      <c r="H102" s="51">
        <v>23</v>
      </c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>
        <v>1</v>
      </c>
      <c r="U102" s="51">
        <v>24</v>
      </c>
      <c r="V102" s="51"/>
      <c r="W102" s="51"/>
      <c r="X102" s="305"/>
    </row>
    <row r="103" s="349" customFormat="1" ht="22" customHeight="1" spans="1:24">
      <c r="A103" s="370"/>
      <c r="B103" s="378" t="s">
        <v>253</v>
      </c>
      <c r="C103" s="370">
        <v>4</v>
      </c>
      <c r="D103" s="370" t="s">
        <v>27</v>
      </c>
      <c r="E103" s="370" t="s">
        <v>248</v>
      </c>
      <c r="F103" s="371">
        <v>42368</v>
      </c>
      <c r="G103" s="51">
        <v>24</v>
      </c>
      <c r="H103" s="51">
        <v>23</v>
      </c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>
        <v>1</v>
      </c>
      <c r="U103" s="51">
        <v>24</v>
      </c>
      <c r="V103" s="51"/>
      <c r="W103" s="51"/>
      <c r="X103" s="305"/>
    </row>
    <row r="104" s="349" customFormat="1" ht="22" customHeight="1" spans="1:24">
      <c r="A104" s="401" t="s">
        <v>254</v>
      </c>
      <c r="B104" s="378" t="s">
        <v>255</v>
      </c>
      <c r="C104" s="370">
        <v>4</v>
      </c>
      <c r="D104" s="370" t="s">
        <v>27</v>
      </c>
      <c r="E104" s="370" t="s">
        <v>141</v>
      </c>
      <c r="F104" s="371">
        <v>43739</v>
      </c>
      <c r="G104" s="51">
        <v>24</v>
      </c>
      <c r="H104" s="51">
        <v>23</v>
      </c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>
        <v>1</v>
      </c>
      <c r="U104" s="51">
        <v>24</v>
      </c>
      <c r="V104" s="51"/>
      <c r="W104" s="51">
        <v>200</v>
      </c>
      <c r="X104" s="305" t="s">
        <v>256</v>
      </c>
    </row>
    <row r="105" s="349" customFormat="1" ht="22" customHeight="1" spans="1:24">
      <c r="A105" s="401" t="s">
        <v>257</v>
      </c>
      <c r="B105" s="379" t="s">
        <v>258</v>
      </c>
      <c r="C105" s="370">
        <v>4</v>
      </c>
      <c r="D105" s="370" t="s">
        <v>27</v>
      </c>
      <c r="E105" s="370" t="s">
        <v>259</v>
      </c>
      <c r="F105" s="371">
        <v>44873</v>
      </c>
      <c r="G105" s="51">
        <v>24</v>
      </c>
      <c r="H105" s="51">
        <v>23</v>
      </c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>
        <v>1</v>
      </c>
      <c r="U105" s="51">
        <v>24</v>
      </c>
      <c r="V105" s="51"/>
      <c r="W105" s="51"/>
      <c r="X105" s="305"/>
    </row>
    <row r="106" s="349" customFormat="1" ht="22" customHeight="1" spans="1:24">
      <c r="A106" s="370"/>
      <c r="B106" s="380" t="s">
        <v>260</v>
      </c>
      <c r="C106" s="370">
        <v>4</v>
      </c>
      <c r="D106" s="370" t="s">
        <v>27</v>
      </c>
      <c r="E106" s="370" t="s">
        <v>261</v>
      </c>
      <c r="F106" s="371"/>
      <c r="G106" s="51">
        <v>24</v>
      </c>
      <c r="H106" s="51">
        <v>23</v>
      </c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>
        <v>1</v>
      </c>
      <c r="U106" s="51">
        <v>24</v>
      </c>
      <c r="V106" s="51"/>
      <c r="W106" s="51"/>
      <c r="X106" s="305"/>
    </row>
    <row r="107" s="349" customFormat="1" ht="22" customHeight="1" spans="1:24">
      <c r="A107" s="370"/>
      <c r="B107" s="380" t="s">
        <v>262</v>
      </c>
      <c r="C107" s="370">
        <v>4</v>
      </c>
      <c r="D107" s="370" t="s">
        <v>27</v>
      </c>
      <c r="E107" s="370" t="s">
        <v>263</v>
      </c>
      <c r="F107" s="371"/>
      <c r="G107" s="51">
        <v>24</v>
      </c>
      <c r="H107" s="51">
        <v>23</v>
      </c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>
        <v>1</v>
      </c>
      <c r="U107" s="51">
        <v>24</v>
      </c>
      <c r="V107" s="51"/>
      <c r="W107" s="51"/>
      <c r="X107" s="305"/>
    </row>
    <row r="108" s="349" customFormat="1" ht="22" customHeight="1" spans="1:24">
      <c r="A108" s="370"/>
      <c r="B108" s="380" t="s">
        <v>264</v>
      </c>
      <c r="C108" s="370">
        <v>4</v>
      </c>
      <c r="D108" s="370" t="s">
        <v>27</v>
      </c>
      <c r="E108" s="370" t="s">
        <v>263</v>
      </c>
      <c r="F108" s="371"/>
      <c r="G108" s="51">
        <v>24</v>
      </c>
      <c r="H108" s="51">
        <v>23</v>
      </c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>
        <v>1</v>
      </c>
      <c r="U108" s="51">
        <v>24</v>
      </c>
      <c r="V108" s="51"/>
      <c r="W108" s="51"/>
      <c r="X108" s="305"/>
    </row>
    <row r="109" s="349" customFormat="1" ht="22" customHeight="1" spans="1:24">
      <c r="A109" s="401" t="s">
        <v>265</v>
      </c>
      <c r="B109" s="381" t="s">
        <v>266</v>
      </c>
      <c r="C109" s="370">
        <v>4</v>
      </c>
      <c r="D109" s="370" t="s">
        <v>206</v>
      </c>
      <c r="E109" s="370" t="s">
        <v>217</v>
      </c>
      <c r="F109" s="371">
        <v>43435</v>
      </c>
      <c r="G109" s="51">
        <v>24</v>
      </c>
      <c r="H109" s="51">
        <v>23</v>
      </c>
      <c r="I109" s="51"/>
      <c r="J109" s="51"/>
      <c r="K109" s="51"/>
      <c r="L109" s="51"/>
      <c r="M109" s="51"/>
      <c r="N109" s="370"/>
      <c r="O109" s="370"/>
      <c r="P109" s="370"/>
      <c r="Q109" s="370"/>
      <c r="R109" s="370"/>
      <c r="S109" s="51"/>
      <c r="T109" s="51">
        <v>1</v>
      </c>
      <c r="U109" s="51">
        <v>24</v>
      </c>
      <c r="V109" s="51"/>
      <c r="W109" s="51">
        <v>200</v>
      </c>
      <c r="X109" s="382" t="s">
        <v>267</v>
      </c>
    </row>
    <row r="110" s="349" customFormat="1" ht="22" customHeight="1" spans="1:24">
      <c r="A110" s="370"/>
      <c r="B110" s="383" t="s">
        <v>268</v>
      </c>
      <c r="C110" s="370">
        <v>4</v>
      </c>
      <c r="D110" s="370" t="s">
        <v>206</v>
      </c>
      <c r="E110" s="370" t="s">
        <v>263</v>
      </c>
      <c r="F110" s="371"/>
      <c r="G110" s="51">
        <v>24</v>
      </c>
      <c r="H110" s="51">
        <v>23</v>
      </c>
      <c r="I110" s="51"/>
      <c r="J110" s="51"/>
      <c r="K110" s="51"/>
      <c r="L110" s="51"/>
      <c r="M110" s="51"/>
      <c r="N110" s="370"/>
      <c r="O110" s="370"/>
      <c r="P110" s="370"/>
      <c r="Q110" s="370"/>
      <c r="R110" s="370"/>
      <c r="S110" s="51"/>
      <c r="T110" s="51">
        <v>1</v>
      </c>
      <c r="U110" s="51">
        <v>24</v>
      </c>
      <c r="V110" s="51"/>
      <c r="W110" s="51"/>
      <c r="X110" s="382" t="s">
        <v>269</v>
      </c>
    </row>
    <row r="111" s="349" customFormat="1" ht="22" customHeight="1" spans="1:24">
      <c r="A111" s="370" t="s">
        <v>270</v>
      </c>
      <c r="B111" s="378" t="s">
        <v>271</v>
      </c>
      <c r="C111" s="370">
        <v>4</v>
      </c>
      <c r="D111" s="370" t="s">
        <v>272</v>
      </c>
      <c r="E111" s="370" t="s">
        <v>69</v>
      </c>
      <c r="F111" s="371">
        <v>43671</v>
      </c>
      <c r="G111" s="51">
        <v>24</v>
      </c>
      <c r="H111" s="51">
        <v>23</v>
      </c>
      <c r="I111" s="51"/>
      <c r="J111" s="51"/>
      <c r="K111" s="51"/>
      <c r="L111" s="51"/>
      <c r="M111" s="370"/>
      <c r="N111" s="370"/>
      <c r="O111" s="370"/>
      <c r="P111" s="370"/>
      <c r="Q111" s="370"/>
      <c r="R111" s="370"/>
      <c r="S111" s="370"/>
      <c r="T111" s="51">
        <v>1</v>
      </c>
      <c r="U111" s="51">
        <v>24</v>
      </c>
      <c r="V111" s="370"/>
      <c r="W111" s="370"/>
      <c r="X111" s="305"/>
    </row>
    <row r="112" s="349" customFormat="1" ht="22" customHeight="1" spans="1:24">
      <c r="A112" s="370" t="s">
        <v>273</v>
      </c>
      <c r="B112" s="378" t="s">
        <v>274</v>
      </c>
      <c r="C112" s="370">
        <v>4</v>
      </c>
      <c r="D112" s="370" t="s">
        <v>272</v>
      </c>
      <c r="E112" s="370" t="s">
        <v>69</v>
      </c>
      <c r="F112" s="371">
        <v>43864</v>
      </c>
      <c r="G112" s="51">
        <v>24</v>
      </c>
      <c r="H112" s="51">
        <v>23</v>
      </c>
      <c r="I112" s="51"/>
      <c r="J112" s="51"/>
      <c r="K112" s="51"/>
      <c r="L112" s="51"/>
      <c r="M112" s="370"/>
      <c r="N112" s="370"/>
      <c r="O112" s="370"/>
      <c r="P112" s="370"/>
      <c r="Q112" s="370"/>
      <c r="R112" s="370"/>
      <c r="S112" s="370"/>
      <c r="T112" s="51">
        <v>1</v>
      </c>
      <c r="U112" s="51">
        <v>24</v>
      </c>
      <c r="V112" s="370"/>
      <c r="W112" s="370"/>
      <c r="X112" s="382"/>
    </row>
    <row r="113" s="349" customFormat="1" ht="22" customHeight="1" spans="1:24">
      <c r="A113" s="370" t="s">
        <v>275</v>
      </c>
      <c r="B113" s="378" t="s">
        <v>276</v>
      </c>
      <c r="C113" s="370">
        <v>4</v>
      </c>
      <c r="D113" s="319" t="s">
        <v>272</v>
      </c>
      <c r="E113" s="370" t="s">
        <v>69</v>
      </c>
      <c r="F113" s="371">
        <v>45444</v>
      </c>
      <c r="G113" s="51">
        <v>24</v>
      </c>
      <c r="H113" s="51">
        <v>23</v>
      </c>
      <c r="I113" s="51"/>
      <c r="J113" s="51"/>
      <c r="K113" s="51"/>
      <c r="L113" s="51"/>
      <c r="M113" s="319"/>
      <c r="N113" s="319"/>
      <c r="O113" s="319"/>
      <c r="P113" s="319"/>
      <c r="Q113" s="319"/>
      <c r="R113" s="384"/>
      <c r="S113" s="384"/>
      <c r="T113" s="51">
        <v>1</v>
      </c>
      <c r="U113" s="51">
        <v>24</v>
      </c>
      <c r="V113" s="385"/>
      <c r="W113" s="319"/>
      <c r="X113" s="386"/>
    </row>
    <row r="114" s="389" customFormat="1" customHeight="1" spans="1:24">
      <c r="B114" s="388"/>
      <c r="H114" s="388"/>
      <c r="I114" s="388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90"/>
      <c r="V114" s="389"/>
      <c r="W114" s="389"/>
      <c r="X114" s="392"/>
    </row>
    <row r="115" s="349" customFormat="1" customHeight="1" spans="1:24">
      <c r="B115" s="270"/>
      <c r="H115" s="270"/>
      <c r="I115" s="270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52"/>
      <c r="V115" s="349"/>
      <c r="W115" s="349"/>
      <c r="X115" s="396"/>
    </row>
    <row r="116" s="349" customFormat="1" customHeight="1" spans="1:24">
      <c r="B116" s="270"/>
    </row>
    <row r="117" s="349" customFormat="1" customHeight="1" spans="1:24">
      <c r="B117" s="270"/>
    </row>
    <row r="118" customHeight="1" spans="1:24">
      <c r="H118" s="349"/>
      <c r="I118" s="349"/>
      <c r="U118" s="349"/>
    </row>
  </sheetData>
  <autoFilter xmlns:etc="http://www.wps.cn/officeDocument/2017/etCustomData" ref="A2:W113" etc:filterBottomFollowUsedRange="0">
    <extLst/>
  </autoFilter>
  <mergeCells count="2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X1:X2"/>
  </mergeCells>
  <conditionalFormatting sqref="B26">
    <cfRule type="duplicateValues" dxfId="0" priority="12"/>
  </conditionalFormatting>
  <conditionalFormatting sqref="B30">
    <cfRule type="duplicateValues" dxfId="0" priority="11"/>
  </conditionalFormatting>
  <conditionalFormatting sqref="B64">
    <cfRule type="duplicateValues" dxfId="0" priority="15"/>
  </conditionalFormatting>
  <conditionalFormatting sqref="B79">
    <cfRule type="duplicateValues" dxfId="0" priority="10"/>
  </conditionalFormatting>
  <conditionalFormatting sqref="B99">
    <cfRule type="duplicateValues" dxfId="0" priority="14"/>
  </conditionalFormatting>
  <conditionalFormatting sqref="B100">
    <cfRule type="duplicateValues" dxfId="0" priority="17"/>
  </conditionalFormatting>
  <conditionalFormatting sqref="B63 B98">
    <cfRule type="duplicateValues" dxfId="0" priority="16"/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9.95" customHeight="1"/>
  <cols>
    <col min="1" max="1" width="9" style="349"/>
    <col min="2" max="2" width="9" style="270"/>
    <col min="3" max="4" width="9" style="349" customWidth="1"/>
    <col min="5" max="5" width="32.8" style="349" customWidth="1"/>
    <col min="6" max="6" width="17.3333333333333" style="349" customWidth="1"/>
    <col min="7" max="7" width="10.4416666666667" style="349" customWidth="1"/>
    <col min="8" max="9" width="9.33333333333333" style="270" customWidth="1"/>
    <col min="10" max="20" width="9" style="349" customWidth="1"/>
    <col min="21" max="21" width="9.44166666666667" style="352" customWidth="1"/>
    <col min="22" max="22" width="10.3333333333333" style="349" customWidth="1"/>
    <col min="23" max="23" width="9" style="349" customWidth="1"/>
    <col min="24" max="25" width="10.7333333333333" style="349" customWidth="1"/>
    <col min="26" max="26" width="10.7333333333333" style="276" customWidth="1"/>
    <col min="27" max="27" width="130.741666666667" style="279" customWidth="1"/>
    <col min="28" max="28" width="18.525" style="349" customWidth="1"/>
    <col min="29" max="29" width="9" style="349"/>
  </cols>
  <sheetData>
    <row r="1" s="348" customFormat="1" ht="14.25" spans="1:28">
      <c r="A1" s="353" t="s">
        <v>277</v>
      </c>
      <c r="B1" s="354" t="s">
        <v>1</v>
      </c>
      <c r="C1" s="355" t="s">
        <v>2</v>
      </c>
      <c r="D1" s="353" t="s">
        <v>3</v>
      </c>
      <c r="E1" s="353" t="s">
        <v>4</v>
      </c>
      <c r="F1" s="356" t="s">
        <v>5</v>
      </c>
      <c r="G1" s="357" t="s">
        <v>6</v>
      </c>
      <c r="H1" s="358" t="s">
        <v>7</v>
      </c>
      <c r="I1" s="359" t="s">
        <v>8</v>
      </c>
      <c r="J1" s="359" t="s">
        <v>9</v>
      </c>
      <c r="K1" s="359" t="s">
        <v>10</v>
      </c>
      <c r="L1" s="359" t="s">
        <v>11</v>
      </c>
      <c r="M1" s="359" t="s">
        <v>12</v>
      </c>
      <c r="N1" s="359" t="s">
        <v>13</v>
      </c>
      <c r="O1" s="353" t="s">
        <v>14</v>
      </c>
      <c r="P1" s="353" t="s">
        <v>15</v>
      </c>
      <c r="Q1" s="359" t="s">
        <v>16</v>
      </c>
      <c r="R1" s="360" t="s">
        <v>17</v>
      </c>
      <c r="S1" s="361" t="s">
        <v>18</v>
      </c>
      <c r="T1" s="359" t="s">
        <v>19</v>
      </c>
      <c r="U1" s="362" t="s">
        <v>20</v>
      </c>
      <c r="V1" s="363" t="s">
        <v>21</v>
      </c>
      <c r="W1" s="353" t="s">
        <v>22</v>
      </c>
      <c r="X1" s="364" t="s">
        <v>278</v>
      </c>
      <c r="Y1" s="365"/>
      <c r="Z1" s="366"/>
      <c r="AA1" s="359" t="s">
        <v>23</v>
      </c>
      <c r="AB1" s="363" t="s">
        <v>279</v>
      </c>
    </row>
    <row r="2" s="348" customFormat="1" ht="28.5" spans="1:28">
      <c r="A2" s="353"/>
      <c r="B2" s="354"/>
      <c r="C2" s="355"/>
      <c r="D2" s="353"/>
      <c r="E2" s="353"/>
      <c r="F2" s="356"/>
      <c r="G2" s="357"/>
      <c r="H2" s="358"/>
      <c r="I2" s="359"/>
      <c r="J2" s="359"/>
      <c r="K2" s="359"/>
      <c r="L2" s="359"/>
      <c r="M2" s="359"/>
      <c r="N2" s="359"/>
      <c r="O2" s="353"/>
      <c r="P2" s="353"/>
      <c r="Q2" s="359"/>
      <c r="R2" s="360"/>
      <c r="S2" s="367"/>
      <c r="T2" s="359"/>
      <c r="U2" s="368"/>
      <c r="V2" s="369"/>
      <c r="W2" s="359" t="s">
        <v>24</v>
      </c>
      <c r="X2" s="353" t="s">
        <v>280</v>
      </c>
      <c r="Y2" s="353" t="s">
        <v>281</v>
      </c>
      <c r="Z2" s="359" t="s">
        <v>282</v>
      </c>
      <c r="AA2" s="359"/>
      <c r="AB2" s="369"/>
    </row>
    <row r="3" s="349" customFormat="1" ht="22" customHeight="1" spans="1:28">
      <c r="A3" s="370">
        <v>1</v>
      </c>
      <c r="B3" s="285" t="s">
        <v>26</v>
      </c>
      <c r="C3" s="370">
        <v>4</v>
      </c>
      <c r="D3" s="370" t="s">
        <v>27</v>
      </c>
      <c r="E3" s="370" t="s">
        <v>28</v>
      </c>
      <c r="F3" s="371">
        <v>44552</v>
      </c>
      <c r="G3" s="51">
        <f ca="1" t="shared" ref="G3:V3" si="0">VLOOKUP($B3,INDIRECT($D3&amp;"!$AG$1:$AY$66"),MATCH(G$1,INDIRECT($D3&amp;"!$AG$1:$AY$1"),0),0)</f>
        <v>24</v>
      </c>
      <c r="H3" s="51">
        <f ca="1" t="shared" si="0"/>
        <v>22</v>
      </c>
      <c r="I3" s="51">
        <f ca="1" t="shared" si="0"/>
        <v>0</v>
      </c>
      <c r="J3" s="51">
        <f ca="1" t="shared" si="0"/>
        <v>0</v>
      </c>
      <c r="K3" s="51">
        <f ca="1" t="shared" si="0"/>
        <v>0</v>
      </c>
      <c r="L3" s="51">
        <f ca="1" t="shared" si="0"/>
        <v>0</v>
      </c>
      <c r="M3" s="51">
        <f ca="1" t="shared" si="0"/>
        <v>1</v>
      </c>
      <c r="N3" s="51">
        <f ca="1" t="shared" si="0"/>
        <v>0</v>
      </c>
      <c r="O3" s="51">
        <f ca="1" t="shared" si="0"/>
        <v>0</v>
      </c>
      <c r="P3" s="51">
        <f ca="1" t="shared" si="0"/>
        <v>0</v>
      </c>
      <c r="Q3" s="51">
        <f ca="1" t="shared" si="0"/>
        <v>0</v>
      </c>
      <c r="R3" s="51">
        <f ca="1" t="shared" si="0"/>
        <v>0</v>
      </c>
      <c r="S3" s="51">
        <f ca="1" t="shared" si="0"/>
        <v>0</v>
      </c>
      <c r="T3" s="51">
        <f ca="1" t="shared" si="0"/>
        <v>1</v>
      </c>
      <c r="U3" s="51">
        <f ca="1" t="shared" si="0"/>
        <v>24</v>
      </c>
      <c r="V3" s="51">
        <f ca="1" t="shared" si="0"/>
        <v>0</v>
      </c>
      <c r="W3" s="51">
        <f ca="1" t="shared" ref="W3:W66" si="1">VLOOKUP($B3,INDIRECT($D3&amp;"!$AG$1:$AY$66"),MATCH(W$2,INDIRECT($D3&amp;"!$AG$1:$AY$1"),0),0)</f>
        <v>200</v>
      </c>
      <c r="X3" s="51">
        <f>IFERROR(_xlfn.XLOOKUP($B3,社保汇总表!B:B,社保汇总表!G:G),0)</f>
        <v>420.68</v>
      </c>
      <c r="Y3" s="51">
        <f>VLOOKUP($B3,公积金汇总表!$P:$Q,2,0)</f>
        <v>118</v>
      </c>
      <c r="Z3" s="51"/>
      <c r="AA3" s="316" t="str">
        <f ca="1">VLOOKUP($B3,INDIRECT($D3&amp;"!$AG$1:$AZ$66"),MATCH(AA$1,INDIRECT($D3&amp;"!$AG$1:$AZ$1"),0),0)</f>
        <v>全勤，年假 8小时(04/20 09:00-04/20 18:30)</v>
      </c>
      <c r="AB3" s="316">
        <f ca="1" t="shared" ref="AB3:AB66" si="2">VLOOKUP($B3,INDIRECT($D3&amp;"!$AG$1:$AZ$66"),MATCH(AB$1,INDIRECT($D3&amp;"!$AG$1:$AZ$1"),0),0)</f>
        <v>20</v>
      </c>
    </row>
    <row r="4" s="349" customFormat="1" ht="22" customHeight="1" spans="1:28">
      <c r="A4" s="370">
        <v>2</v>
      </c>
      <c r="B4" s="285" t="s">
        <v>30</v>
      </c>
      <c r="C4" s="370">
        <v>4</v>
      </c>
      <c r="D4" s="370" t="s">
        <v>27</v>
      </c>
      <c r="E4" s="370" t="s">
        <v>28</v>
      </c>
      <c r="F4" s="371">
        <v>45727</v>
      </c>
      <c r="G4" s="51">
        <f ca="1" t="shared" ref="G4:V4" si="3">VLOOKUP($B4,INDIRECT($D4&amp;"!$AG$1:$AY$66"),MATCH(G$1,INDIRECT($D4&amp;"!$AG$1:$AY$1"),0),0)</f>
        <v>24</v>
      </c>
      <c r="H4" s="51">
        <f ca="1" t="shared" si="3"/>
        <v>22</v>
      </c>
      <c r="I4" s="51">
        <f ca="1" t="shared" si="3"/>
        <v>0</v>
      </c>
      <c r="J4" s="51">
        <f ca="1" t="shared" si="3"/>
        <v>0</v>
      </c>
      <c r="K4" s="51">
        <f ca="1" t="shared" si="3"/>
        <v>0</v>
      </c>
      <c r="L4" s="51">
        <f ca="1" t="shared" si="3"/>
        <v>0</v>
      </c>
      <c r="M4" s="51">
        <f ca="1" t="shared" si="3"/>
        <v>1</v>
      </c>
      <c r="N4" s="51">
        <f ca="1" t="shared" si="3"/>
        <v>0</v>
      </c>
      <c r="O4" s="51">
        <f ca="1" t="shared" si="3"/>
        <v>0</v>
      </c>
      <c r="P4" s="51">
        <f ca="1" t="shared" si="3"/>
        <v>0</v>
      </c>
      <c r="Q4" s="51">
        <f ca="1" t="shared" si="3"/>
        <v>0</v>
      </c>
      <c r="R4" s="51">
        <f ca="1" t="shared" si="3"/>
        <v>0</v>
      </c>
      <c r="S4" s="51">
        <f ca="1" t="shared" si="3"/>
        <v>0</v>
      </c>
      <c r="T4" s="51">
        <f ca="1" t="shared" si="3"/>
        <v>1</v>
      </c>
      <c r="U4" s="51">
        <f ca="1" t="shared" si="3"/>
        <v>24</v>
      </c>
      <c r="V4" s="51">
        <f ca="1" t="shared" si="3"/>
        <v>0</v>
      </c>
      <c r="W4" s="51">
        <f ca="1" t="shared" si="1"/>
        <v>200</v>
      </c>
      <c r="X4" s="51">
        <f>IFERROR(_xlfn.XLOOKUP($B4,社保汇总表!B:B,社保汇总表!G:G),0)</f>
        <v>420.68</v>
      </c>
      <c r="Y4" s="51">
        <f>VLOOKUP($B4,公积金汇总表!$P:$Q,2,0)</f>
        <v>118</v>
      </c>
      <c r="Z4" s="51"/>
      <c r="AA4" s="316" t="str">
        <f ca="1" t="shared" ref="AA4:AA67" si="4">VLOOKUP($B4,INDIRECT($D4&amp;"!$AG$1:$AY$66"),MATCH(AA$1,INDIRECT($D4&amp;"!$AG$1:$AY$1"),0),0)</f>
        <v>全勤，外出 4.5小时(04/03 14:00-04/03 18:30);外出 6.5小时(04/22 12:00-04/22 18:30);年假 8小时(04/24 09:00-04/24 18:30)</v>
      </c>
      <c r="AB4" s="316">
        <f ca="1" t="shared" si="2"/>
        <v>0</v>
      </c>
    </row>
    <row r="5" s="349" customFormat="1" ht="22" customHeight="1" spans="1:28">
      <c r="A5" s="370">
        <v>3</v>
      </c>
      <c r="B5" s="51" t="s">
        <v>32</v>
      </c>
      <c r="C5" s="370">
        <v>4</v>
      </c>
      <c r="D5" s="370" t="s">
        <v>27</v>
      </c>
      <c r="E5" s="370" t="s">
        <v>28</v>
      </c>
      <c r="F5" s="371">
        <v>46134</v>
      </c>
      <c r="G5" s="51">
        <f ca="1" t="shared" ref="G5:V5" si="5">VLOOKUP($B5,INDIRECT($D5&amp;"!$AG$1:$AY$66"),MATCH(G$1,INDIRECT($D5&amp;"!$AG$1:$AY$1"),0),0)</f>
        <v>24</v>
      </c>
      <c r="H5" s="51">
        <f ca="1" t="shared" si="5"/>
        <v>23</v>
      </c>
      <c r="I5" s="51">
        <f ca="1" t="shared" si="5"/>
        <v>0</v>
      </c>
      <c r="J5" s="51">
        <f ca="1" t="shared" si="5"/>
        <v>0</v>
      </c>
      <c r="K5" s="51">
        <f ca="1" t="shared" si="5"/>
        <v>0</v>
      </c>
      <c r="L5" s="51">
        <f ca="1" t="shared" si="5"/>
        <v>0</v>
      </c>
      <c r="M5" s="51">
        <f ca="1" t="shared" si="5"/>
        <v>0</v>
      </c>
      <c r="N5" s="51">
        <f ca="1" t="shared" si="5"/>
        <v>0</v>
      </c>
      <c r="O5" s="51">
        <f ca="1" t="shared" si="5"/>
        <v>0</v>
      </c>
      <c r="P5" s="51">
        <f ca="1" t="shared" si="5"/>
        <v>0</v>
      </c>
      <c r="Q5" s="51">
        <f ca="1" t="shared" si="5"/>
        <v>0</v>
      </c>
      <c r="R5" s="51">
        <f ca="1" t="shared" si="5"/>
        <v>0</v>
      </c>
      <c r="S5" s="51">
        <f ca="1" t="shared" si="5"/>
        <v>0</v>
      </c>
      <c r="T5" s="51">
        <f ca="1" t="shared" si="5"/>
        <v>1</v>
      </c>
      <c r="U5" s="51">
        <f ca="1" t="shared" si="5"/>
        <v>24</v>
      </c>
      <c r="V5" s="51">
        <f ca="1" t="shared" si="5"/>
        <v>0</v>
      </c>
      <c r="W5" s="51">
        <f ca="1" t="shared" si="1"/>
        <v>200</v>
      </c>
      <c r="X5" s="51">
        <f>IFERROR(_xlfn.XLOOKUP($B5,社保汇总表!B:B,社保汇总表!G:G),0)</f>
        <v>521.58</v>
      </c>
      <c r="Y5" s="51">
        <f>VLOOKUP($B5,公积金汇总表!$P:$Q,2,0)</f>
        <v>126</v>
      </c>
      <c r="Z5" s="51"/>
      <c r="AA5" s="316" t="str">
        <f ca="1" t="shared" si="4"/>
        <v>全勤，外出 1.5小时(04/28 10:30-04/28 12:00)</v>
      </c>
      <c r="AB5" s="316">
        <f ca="1" t="shared" si="2"/>
        <v>18.5</v>
      </c>
    </row>
    <row r="6" s="349" customFormat="1" ht="22" customHeight="1" spans="1:28">
      <c r="A6" s="370">
        <v>4</v>
      </c>
      <c r="B6" s="51" t="s">
        <v>34</v>
      </c>
      <c r="C6" s="370">
        <v>4</v>
      </c>
      <c r="D6" s="370" t="s">
        <v>27</v>
      </c>
      <c r="E6" s="370" t="s">
        <v>28</v>
      </c>
      <c r="F6" s="371"/>
      <c r="G6" s="51">
        <f ca="1" t="shared" ref="G6:V6" si="6">VLOOKUP($B6,INDIRECT($D6&amp;"!$AG$1:$AY$66"),MATCH(G$1,INDIRECT($D6&amp;"!$AG$1:$AY$1"),0),0)</f>
        <v>24</v>
      </c>
      <c r="H6" s="51">
        <f ca="1" t="shared" si="6"/>
        <v>23</v>
      </c>
      <c r="I6" s="51">
        <f ca="1" t="shared" si="6"/>
        <v>0</v>
      </c>
      <c r="J6" s="51">
        <f ca="1" t="shared" si="6"/>
        <v>0</v>
      </c>
      <c r="K6" s="51">
        <f ca="1" t="shared" si="6"/>
        <v>0</v>
      </c>
      <c r="L6" s="51">
        <f ca="1" t="shared" si="6"/>
        <v>0</v>
      </c>
      <c r="M6" s="51">
        <f ca="1" t="shared" si="6"/>
        <v>0</v>
      </c>
      <c r="N6" s="51">
        <f ca="1" t="shared" si="6"/>
        <v>0</v>
      </c>
      <c r="O6" s="51">
        <f ca="1" t="shared" si="6"/>
        <v>0</v>
      </c>
      <c r="P6" s="51">
        <f ca="1" t="shared" si="6"/>
        <v>0</v>
      </c>
      <c r="Q6" s="51">
        <f ca="1" t="shared" si="6"/>
        <v>0</v>
      </c>
      <c r="R6" s="51">
        <f ca="1" t="shared" si="6"/>
        <v>0</v>
      </c>
      <c r="S6" s="51">
        <f ca="1" t="shared" si="6"/>
        <v>0</v>
      </c>
      <c r="T6" s="51">
        <f ca="1" t="shared" si="6"/>
        <v>1</v>
      </c>
      <c r="U6" s="51">
        <f ca="1" t="shared" si="6"/>
        <v>24</v>
      </c>
      <c r="V6" s="51">
        <f ca="1" t="shared" si="6"/>
        <v>0</v>
      </c>
      <c r="W6" s="51">
        <f ca="1" t="shared" si="1"/>
        <v>200</v>
      </c>
      <c r="X6" s="51">
        <f>IFERROR(_xlfn.XLOOKUP($B6,社保汇总表!B:B,社保汇总表!G:G),0)</f>
        <v>420.68</v>
      </c>
      <c r="Y6" s="51">
        <f>VLOOKUP($B6,公积金汇总表!$P:$Q,2,0)</f>
        <v>126</v>
      </c>
      <c r="Z6" s="51"/>
      <c r="AA6" s="316" t="str">
        <f ca="1" t="shared" si="4"/>
        <v>全勤</v>
      </c>
      <c r="AB6" s="316">
        <f ca="1" t="shared" si="2"/>
        <v>5</v>
      </c>
    </row>
    <row r="7" s="349" customFormat="1" ht="22" customHeight="1" spans="1:28">
      <c r="A7" s="370">
        <v>5</v>
      </c>
      <c r="B7" s="285" t="s">
        <v>36</v>
      </c>
      <c r="C7" s="370">
        <v>4</v>
      </c>
      <c r="D7" s="370" t="s">
        <v>27</v>
      </c>
      <c r="E7" s="370" t="s">
        <v>28</v>
      </c>
      <c r="F7" s="371">
        <v>46113</v>
      </c>
      <c r="G7" s="51">
        <f ca="1" t="shared" ref="G7:V7" si="7">VLOOKUP($B7,INDIRECT($D7&amp;"!$AG$1:$AY$66"),MATCH(G$1,INDIRECT($D7&amp;"!$AG$1:$AY$1"),0),0)</f>
        <v>24</v>
      </c>
      <c r="H7" s="51">
        <f ca="1" t="shared" si="7"/>
        <v>23</v>
      </c>
      <c r="I7" s="51">
        <f ca="1" t="shared" si="7"/>
        <v>0</v>
      </c>
      <c r="J7" s="51">
        <f ca="1" t="shared" si="7"/>
        <v>0</v>
      </c>
      <c r="K7" s="51">
        <f ca="1" t="shared" si="7"/>
        <v>0</v>
      </c>
      <c r="L7" s="51">
        <f ca="1" t="shared" si="7"/>
        <v>0</v>
      </c>
      <c r="M7" s="51">
        <f ca="1" t="shared" si="7"/>
        <v>0</v>
      </c>
      <c r="N7" s="51">
        <f ca="1" t="shared" si="7"/>
        <v>0</v>
      </c>
      <c r="O7" s="51">
        <f ca="1" t="shared" si="7"/>
        <v>0</v>
      </c>
      <c r="P7" s="51">
        <f ca="1" t="shared" si="7"/>
        <v>0</v>
      </c>
      <c r="Q7" s="51">
        <f ca="1" t="shared" si="7"/>
        <v>0</v>
      </c>
      <c r="R7" s="51">
        <f ca="1" t="shared" si="7"/>
        <v>0</v>
      </c>
      <c r="S7" s="51">
        <f ca="1" t="shared" si="7"/>
        <v>0</v>
      </c>
      <c r="T7" s="51">
        <f ca="1" t="shared" si="7"/>
        <v>1</v>
      </c>
      <c r="U7" s="51">
        <f ca="1" t="shared" si="7"/>
        <v>24</v>
      </c>
      <c r="V7" s="51">
        <f ca="1" t="shared" si="7"/>
        <v>0</v>
      </c>
      <c r="W7" s="51">
        <f ca="1" t="shared" si="1"/>
        <v>200</v>
      </c>
      <c r="X7" s="51">
        <f>IFERROR(_xlfn.XLOOKUP($B7,社保汇总表!B:B,社保汇总表!G:G),0)</f>
        <v>420.68</v>
      </c>
      <c r="Y7" s="51">
        <f>VLOOKUP($B7,公积金汇总表!$P:$Q,2,0)</f>
        <v>126</v>
      </c>
      <c r="Z7" s="51"/>
      <c r="AA7" s="316" t="str">
        <f ca="1" t="shared" si="4"/>
        <v>全勤，外出 6.5小时(04/22 12:00-04/22 18:30)</v>
      </c>
      <c r="AB7" s="316">
        <f ca="1" t="shared" si="2"/>
        <v>2</v>
      </c>
    </row>
    <row r="8" s="349" customFormat="1" ht="22" customHeight="1" spans="1:28">
      <c r="A8" s="370">
        <v>6</v>
      </c>
      <c r="B8" s="285" t="s">
        <v>38</v>
      </c>
      <c r="C8" s="370">
        <v>4</v>
      </c>
      <c r="D8" s="370" t="s">
        <v>27</v>
      </c>
      <c r="E8" s="370" t="s">
        <v>39</v>
      </c>
      <c r="F8" s="371">
        <v>44732</v>
      </c>
      <c r="G8" s="51">
        <f ca="1" t="shared" ref="G8:V8" si="8">VLOOKUP($B8,INDIRECT($D8&amp;"!$AG$1:$AY$66"),MATCH(G$1,INDIRECT($D8&amp;"!$AG$1:$AY$1"),0),0)</f>
        <v>24</v>
      </c>
      <c r="H8" s="51">
        <f ca="1" t="shared" si="8"/>
        <v>22</v>
      </c>
      <c r="I8" s="51">
        <f ca="1" t="shared" si="8"/>
        <v>5</v>
      </c>
      <c r="J8" s="51">
        <f ca="1" t="shared" si="8"/>
        <v>0</v>
      </c>
      <c r="K8" s="51">
        <f ca="1" t="shared" si="8"/>
        <v>0</v>
      </c>
      <c r="L8" s="51">
        <f ca="1" t="shared" si="8"/>
        <v>0.44</v>
      </c>
      <c r="M8" s="51">
        <f ca="1" t="shared" si="8"/>
        <v>0.56</v>
      </c>
      <c r="N8" s="51">
        <f ca="1" t="shared" si="8"/>
        <v>0</v>
      </c>
      <c r="O8" s="51">
        <f ca="1" t="shared" si="8"/>
        <v>0</v>
      </c>
      <c r="P8" s="51">
        <f ca="1" t="shared" si="8"/>
        <v>0</v>
      </c>
      <c r="Q8" s="51">
        <f ca="1" t="shared" si="8"/>
        <v>0</v>
      </c>
      <c r="R8" s="51">
        <f ca="1" t="shared" si="8"/>
        <v>0</v>
      </c>
      <c r="S8" s="51">
        <f ca="1" t="shared" si="8"/>
        <v>0</v>
      </c>
      <c r="T8" s="51">
        <f ca="1" t="shared" si="8"/>
        <v>1</v>
      </c>
      <c r="U8" s="51">
        <f ca="1" t="shared" si="8"/>
        <v>23.56</v>
      </c>
      <c r="V8" s="51">
        <f ca="1" t="shared" si="8"/>
        <v>0</v>
      </c>
      <c r="W8" s="51">
        <f ca="1" t="shared" si="1"/>
        <v>0</v>
      </c>
      <c r="X8" s="51">
        <f>IFERROR(_xlfn.XLOOKUP($B8,社保汇总表!B:B,社保汇总表!G:G),0)</f>
        <v>420.68</v>
      </c>
      <c r="Y8" s="51">
        <f>VLOOKUP($B8,公积金汇总表!$P:$Q,2,0)</f>
        <v>118</v>
      </c>
      <c r="Z8" s="51"/>
      <c r="AA8" s="316" t="str">
        <f ca="1" t="shared" si="4"/>
        <v>事假 3.5小时(04/04 09:00-04/04 12:30);年假 4.5小时(04/10 14:00-04/10 18:30)，迟到2次共5分钟</v>
      </c>
      <c r="AB8" s="316">
        <f ca="1" t="shared" si="2"/>
        <v>0</v>
      </c>
    </row>
    <row r="9" s="349" customFormat="1" ht="22" customHeight="1" spans="1:28">
      <c r="A9" s="370">
        <v>7</v>
      </c>
      <c r="B9" s="285" t="s">
        <v>41</v>
      </c>
      <c r="C9" s="370">
        <v>4</v>
      </c>
      <c r="D9" s="370" t="s">
        <v>27</v>
      </c>
      <c r="E9" s="370" t="s">
        <v>39</v>
      </c>
      <c r="F9" s="371">
        <v>44739</v>
      </c>
      <c r="G9" s="51">
        <f ca="1" t="shared" ref="G9:V9" si="9">VLOOKUP($B9,INDIRECT($D9&amp;"!$AG$1:$AY$66"),MATCH(G$1,INDIRECT($D9&amp;"!$AG$1:$AY$1"),0),0)</f>
        <v>24</v>
      </c>
      <c r="H9" s="51">
        <f ca="1" t="shared" si="9"/>
        <v>22.44</v>
      </c>
      <c r="I9" s="51">
        <f ca="1" t="shared" si="9"/>
        <v>0</v>
      </c>
      <c r="J9" s="51">
        <f ca="1" t="shared" si="9"/>
        <v>0</v>
      </c>
      <c r="K9" s="51">
        <f ca="1" t="shared" si="9"/>
        <v>0</v>
      </c>
      <c r="L9" s="51">
        <f ca="1" t="shared" si="9"/>
        <v>0.56</v>
      </c>
      <c r="M9" s="51">
        <f ca="1" t="shared" si="9"/>
        <v>0</v>
      </c>
      <c r="N9" s="51">
        <f ca="1" t="shared" si="9"/>
        <v>0</v>
      </c>
      <c r="O9" s="51">
        <f ca="1" t="shared" si="9"/>
        <v>0</v>
      </c>
      <c r="P9" s="51">
        <f ca="1" t="shared" si="9"/>
        <v>0</v>
      </c>
      <c r="Q9" s="51">
        <f ca="1" t="shared" si="9"/>
        <v>0</v>
      </c>
      <c r="R9" s="51">
        <f ca="1" t="shared" si="9"/>
        <v>0</v>
      </c>
      <c r="S9" s="51">
        <f ca="1" t="shared" si="9"/>
        <v>0</v>
      </c>
      <c r="T9" s="51">
        <f ca="1" t="shared" si="9"/>
        <v>1</v>
      </c>
      <c r="U9" s="51">
        <f ca="1" t="shared" si="9"/>
        <v>23.44</v>
      </c>
      <c r="V9" s="51">
        <f ca="1" t="shared" si="9"/>
        <v>0</v>
      </c>
      <c r="W9" s="51">
        <f ca="1" t="shared" si="1"/>
        <v>0</v>
      </c>
      <c r="X9" s="51">
        <f>IFERROR(_xlfn.XLOOKUP($B9,社保汇总表!B:B,社保汇总表!G:G),0)</f>
        <v>420.68</v>
      </c>
      <c r="Y9" s="51">
        <f>VLOOKUP($B9,公积金汇总表!$P:$Q,2,0)</f>
        <v>118</v>
      </c>
      <c r="Z9" s="51"/>
      <c r="AA9" s="316" t="str">
        <f ca="1" t="shared" si="4"/>
        <v>事假 4.5小时(04/04 14:00-04/04 18:30)</v>
      </c>
      <c r="AB9" s="316">
        <f ca="1" t="shared" si="2"/>
        <v>1</v>
      </c>
    </row>
    <row r="10" s="349" customFormat="1" ht="22" customHeight="1" spans="1:28">
      <c r="A10" s="370">
        <v>8</v>
      </c>
      <c r="B10" s="288" t="s">
        <v>43</v>
      </c>
      <c r="C10" s="370">
        <v>4</v>
      </c>
      <c r="D10" s="370" t="s">
        <v>27</v>
      </c>
      <c r="E10" s="370" t="s">
        <v>39</v>
      </c>
      <c r="F10" s="371">
        <v>46085</v>
      </c>
      <c r="G10" s="51">
        <f ca="1" t="shared" ref="G10:V10" si="10">VLOOKUP($B10,INDIRECT($D10&amp;"!$AG$1:$AY$66"),MATCH(G$1,INDIRECT($D10&amp;"!$AG$1:$AY$1"),0),0)</f>
        <v>24</v>
      </c>
      <c r="H10" s="51">
        <f ca="1" t="shared" si="10"/>
        <v>23</v>
      </c>
      <c r="I10" s="51">
        <f ca="1" t="shared" si="10"/>
        <v>0</v>
      </c>
      <c r="J10" s="51">
        <f ca="1" t="shared" si="10"/>
        <v>0</v>
      </c>
      <c r="K10" s="51">
        <f ca="1" t="shared" si="10"/>
        <v>0</v>
      </c>
      <c r="L10" s="51">
        <f ca="1" t="shared" si="10"/>
        <v>0</v>
      </c>
      <c r="M10" s="51">
        <f ca="1" t="shared" si="10"/>
        <v>0</v>
      </c>
      <c r="N10" s="51">
        <f ca="1" t="shared" si="10"/>
        <v>0</v>
      </c>
      <c r="O10" s="51">
        <f ca="1" t="shared" si="10"/>
        <v>0</v>
      </c>
      <c r="P10" s="51">
        <f ca="1" t="shared" si="10"/>
        <v>0</v>
      </c>
      <c r="Q10" s="51">
        <f ca="1" t="shared" si="10"/>
        <v>0</v>
      </c>
      <c r="R10" s="51">
        <f ca="1" t="shared" si="10"/>
        <v>0</v>
      </c>
      <c r="S10" s="51">
        <f ca="1" t="shared" si="10"/>
        <v>0</v>
      </c>
      <c r="T10" s="51">
        <f ca="1" t="shared" si="10"/>
        <v>1</v>
      </c>
      <c r="U10" s="51">
        <f ca="1" t="shared" si="10"/>
        <v>24</v>
      </c>
      <c r="V10" s="51">
        <f ca="1" t="shared" si="10"/>
        <v>0</v>
      </c>
      <c r="W10" s="51">
        <f ca="1" t="shared" si="1"/>
        <v>200</v>
      </c>
      <c r="X10" s="51">
        <f>IFERROR(_xlfn.XLOOKUP($B10,社保汇总表!B:B,社保汇总表!G:G),0)</f>
        <v>420.68</v>
      </c>
      <c r="Y10" s="51">
        <f>VLOOKUP($B10,公积金汇总表!$P:$Q,2,0)</f>
        <v>126</v>
      </c>
      <c r="Z10" s="51"/>
      <c r="AA10" s="316" t="str">
        <f ca="1" t="shared" si="4"/>
        <v>全勤</v>
      </c>
      <c r="AB10" s="316">
        <f ca="1" t="shared" si="2"/>
        <v>0</v>
      </c>
    </row>
    <row r="11" s="349" customFormat="1" ht="22" customHeight="1" spans="1:28">
      <c r="A11" s="370">
        <v>9</v>
      </c>
      <c r="B11" s="285" t="s">
        <v>45</v>
      </c>
      <c r="C11" s="370">
        <v>4</v>
      </c>
      <c r="D11" s="370" t="s">
        <v>27</v>
      </c>
      <c r="E11" s="370" t="s">
        <v>46</v>
      </c>
      <c r="F11" s="371">
        <v>45471</v>
      </c>
      <c r="G11" s="51">
        <f ca="1" t="shared" ref="G11:V11" si="11">VLOOKUP($B11,INDIRECT($D11&amp;"!$AG$1:$AY$66"),MATCH(G$1,INDIRECT($D11&amp;"!$AG$1:$AY$1"),0),0)</f>
        <v>24</v>
      </c>
      <c r="H11" s="51">
        <f ca="1" t="shared" si="11"/>
        <v>22</v>
      </c>
      <c r="I11" s="51">
        <f ca="1" t="shared" si="11"/>
        <v>0</v>
      </c>
      <c r="J11" s="51">
        <f ca="1" t="shared" si="11"/>
        <v>0</v>
      </c>
      <c r="K11" s="51">
        <f ca="1" t="shared" si="11"/>
        <v>0</v>
      </c>
      <c r="L11" s="51">
        <f ca="1" t="shared" si="11"/>
        <v>0</v>
      </c>
      <c r="M11" s="51">
        <f ca="1" t="shared" si="11"/>
        <v>1</v>
      </c>
      <c r="N11" s="51">
        <f ca="1" t="shared" si="11"/>
        <v>0</v>
      </c>
      <c r="O11" s="51">
        <f ca="1" t="shared" si="11"/>
        <v>0</v>
      </c>
      <c r="P11" s="51">
        <f ca="1" t="shared" si="11"/>
        <v>0</v>
      </c>
      <c r="Q11" s="51">
        <f ca="1" t="shared" si="11"/>
        <v>0</v>
      </c>
      <c r="R11" s="51">
        <f ca="1" t="shared" si="11"/>
        <v>0</v>
      </c>
      <c r="S11" s="51">
        <f ca="1" t="shared" si="11"/>
        <v>0</v>
      </c>
      <c r="T11" s="51">
        <f ca="1" t="shared" si="11"/>
        <v>1</v>
      </c>
      <c r="U11" s="51">
        <f ca="1" t="shared" si="11"/>
        <v>24</v>
      </c>
      <c r="V11" s="51">
        <f ca="1" t="shared" si="11"/>
        <v>0</v>
      </c>
      <c r="W11" s="51">
        <f ca="1" t="shared" si="1"/>
        <v>200</v>
      </c>
      <c r="X11" s="51">
        <f>IFERROR(_xlfn.XLOOKUP($B11,社保汇总表!B:B,社保汇总表!G:G),0)</f>
        <v>521.58</v>
      </c>
      <c r="Y11" s="51"/>
      <c r="Z11" s="51"/>
      <c r="AA11" s="316" t="str">
        <f ca="1" t="shared" si="4"/>
        <v>全勤，年假 8小时(04/24 09:00-04/24 18:30)</v>
      </c>
      <c r="AB11" s="316">
        <f ca="1" t="shared" si="2"/>
        <v>0.5</v>
      </c>
    </row>
    <row r="12" s="349" customFormat="1" ht="22" customHeight="1" spans="1:28">
      <c r="A12" s="370">
        <v>10</v>
      </c>
      <c r="B12" s="285" t="s">
        <v>48</v>
      </c>
      <c r="C12" s="370">
        <v>4</v>
      </c>
      <c r="D12" s="370" t="s">
        <v>27</v>
      </c>
      <c r="E12" s="370" t="s">
        <v>46</v>
      </c>
      <c r="F12" s="371">
        <v>43360</v>
      </c>
      <c r="G12" s="51">
        <f ca="1" t="shared" ref="G12:V12" si="12">VLOOKUP($B12,INDIRECT($D12&amp;"!$AG$1:$AY$66"),MATCH(G$1,INDIRECT($D12&amp;"!$AG$1:$AY$1"),0),0)</f>
        <v>24</v>
      </c>
      <c r="H12" s="51">
        <f ca="1" t="shared" si="12"/>
        <v>23</v>
      </c>
      <c r="I12" s="51">
        <f ca="1" t="shared" si="12"/>
        <v>0</v>
      </c>
      <c r="J12" s="51">
        <f ca="1" t="shared" si="12"/>
        <v>0</v>
      </c>
      <c r="K12" s="51">
        <f ca="1" t="shared" si="12"/>
        <v>0</v>
      </c>
      <c r="L12" s="51">
        <f ca="1" t="shared" si="12"/>
        <v>0</v>
      </c>
      <c r="M12" s="51">
        <f ca="1" t="shared" si="12"/>
        <v>0</v>
      </c>
      <c r="N12" s="51">
        <f ca="1" t="shared" si="12"/>
        <v>0</v>
      </c>
      <c r="O12" s="51">
        <f ca="1" t="shared" si="12"/>
        <v>0</v>
      </c>
      <c r="P12" s="51">
        <f ca="1" t="shared" si="12"/>
        <v>0</v>
      </c>
      <c r="Q12" s="51">
        <f ca="1" t="shared" si="12"/>
        <v>0</v>
      </c>
      <c r="R12" s="51">
        <f ca="1" t="shared" si="12"/>
        <v>0</v>
      </c>
      <c r="S12" s="51">
        <f ca="1" t="shared" si="12"/>
        <v>0</v>
      </c>
      <c r="T12" s="51">
        <f ca="1" t="shared" si="12"/>
        <v>1</v>
      </c>
      <c r="U12" s="51">
        <f ca="1" t="shared" si="12"/>
        <v>24</v>
      </c>
      <c r="V12" s="51">
        <f ca="1" t="shared" si="12"/>
        <v>0</v>
      </c>
      <c r="W12" s="51">
        <f ca="1" t="shared" si="1"/>
        <v>200</v>
      </c>
      <c r="X12" s="51">
        <f>IFERROR(_xlfn.XLOOKUP($B12,社保汇总表!B:B,社保汇总表!G:G),0)</f>
        <v>420.68</v>
      </c>
      <c r="Y12" s="51">
        <f>VLOOKUP($B12,公积金汇总表!$P:$Q,2,0)</f>
        <v>118</v>
      </c>
      <c r="Z12" s="51"/>
      <c r="AA12" s="316" t="str">
        <f ca="1" t="shared" si="4"/>
        <v>全勤</v>
      </c>
      <c r="AB12" s="316">
        <f ca="1" t="shared" si="2"/>
        <v>0</v>
      </c>
    </row>
    <row r="13" s="349" customFormat="1" ht="22" customHeight="1" spans="1:28">
      <c r="A13" s="370">
        <v>11</v>
      </c>
      <c r="B13" s="285" t="s">
        <v>50</v>
      </c>
      <c r="C13" s="370">
        <v>4</v>
      </c>
      <c r="D13" s="370" t="s">
        <v>27</v>
      </c>
      <c r="E13" s="370" t="s">
        <v>46</v>
      </c>
      <c r="F13" s="371">
        <v>45468</v>
      </c>
      <c r="G13" s="51">
        <f ca="1" t="shared" ref="G13:V13" si="13">VLOOKUP($B13,INDIRECT($D13&amp;"!$AG$1:$AY$66"),MATCH(G$1,INDIRECT($D13&amp;"!$AG$1:$AY$1"),0),0)</f>
        <v>24</v>
      </c>
      <c r="H13" s="51">
        <f ca="1" t="shared" si="13"/>
        <v>23</v>
      </c>
      <c r="I13" s="51">
        <f ca="1" t="shared" si="13"/>
        <v>0</v>
      </c>
      <c r="J13" s="51">
        <f ca="1" t="shared" si="13"/>
        <v>0</v>
      </c>
      <c r="K13" s="51">
        <f ca="1" t="shared" si="13"/>
        <v>0</v>
      </c>
      <c r="L13" s="51">
        <f ca="1" t="shared" si="13"/>
        <v>0</v>
      </c>
      <c r="M13" s="51">
        <f ca="1" t="shared" si="13"/>
        <v>0</v>
      </c>
      <c r="N13" s="51">
        <f ca="1" t="shared" si="13"/>
        <v>0</v>
      </c>
      <c r="O13" s="51">
        <f ca="1" t="shared" si="13"/>
        <v>0</v>
      </c>
      <c r="P13" s="51">
        <f ca="1" t="shared" si="13"/>
        <v>0</v>
      </c>
      <c r="Q13" s="51">
        <f ca="1" t="shared" si="13"/>
        <v>0</v>
      </c>
      <c r="R13" s="51">
        <f ca="1" t="shared" si="13"/>
        <v>0</v>
      </c>
      <c r="S13" s="51">
        <f ca="1" t="shared" si="13"/>
        <v>0</v>
      </c>
      <c r="T13" s="51">
        <f ca="1" t="shared" si="13"/>
        <v>1</v>
      </c>
      <c r="U13" s="51">
        <f ca="1" t="shared" si="13"/>
        <v>24</v>
      </c>
      <c r="V13" s="51">
        <f ca="1" t="shared" si="13"/>
        <v>0</v>
      </c>
      <c r="W13" s="51">
        <f ca="1" t="shared" si="1"/>
        <v>200</v>
      </c>
      <c r="X13" s="51">
        <f>IFERROR(_xlfn.XLOOKUP($B13,社保汇总表!B:B,社保汇总表!G:G),0)</f>
        <v>420.68</v>
      </c>
      <c r="Y13" s="51">
        <f>VLOOKUP($B13,公积金汇总表!$P:$Q,2,0)</f>
        <v>118</v>
      </c>
      <c r="Z13" s="51"/>
      <c r="AA13" s="316" t="str">
        <f ca="1" t="shared" si="4"/>
        <v>全勤</v>
      </c>
      <c r="AB13" s="316">
        <f ca="1" t="shared" si="2"/>
        <v>0.5</v>
      </c>
    </row>
    <row r="14" s="349" customFormat="1" ht="22" customHeight="1" spans="1:28">
      <c r="A14" s="370">
        <v>12</v>
      </c>
      <c r="B14" s="51" t="s">
        <v>52</v>
      </c>
      <c r="C14" s="370">
        <v>4</v>
      </c>
      <c r="D14" s="370" t="s">
        <v>27</v>
      </c>
      <c r="E14" s="51" t="s">
        <v>46</v>
      </c>
      <c r="F14" s="371"/>
      <c r="G14" s="51">
        <f ca="1" t="shared" ref="G14:V14" si="14">VLOOKUP($B14,INDIRECT($D14&amp;"!$AG$1:$AY$66"),MATCH(G$1,INDIRECT($D14&amp;"!$AG$1:$AY$1"),0),0)</f>
        <v>24</v>
      </c>
      <c r="H14" s="51">
        <f ca="1" t="shared" si="14"/>
        <v>23</v>
      </c>
      <c r="I14" s="51">
        <f ca="1" t="shared" si="14"/>
        <v>1</v>
      </c>
      <c r="J14" s="51">
        <f ca="1" t="shared" si="14"/>
        <v>0</v>
      </c>
      <c r="K14" s="51">
        <f ca="1" t="shared" si="14"/>
        <v>0</v>
      </c>
      <c r="L14" s="51">
        <f ca="1" t="shared" si="14"/>
        <v>0</v>
      </c>
      <c r="M14" s="51">
        <f ca="1" t="shared" si="14"/>
        <v>0</v>
      </c>
      <c r="N14" s="51">
        <f ca="1" t="shared" si="14"/>
        <v>0</v>
      </c>
      <c r="O14" s="51">
        <f ca="1" t="shared" si="14"/>
        <v>0</v>
      </c>
      <c r="P14" s="51">
        <f ca="1" t="shared" si="14"/>
        <v>0</v>
      </c>
      <c r="Q14" s="51">
        <f ca="1" t="shared" si="14"/>
        <v>0</v>
      </c>
      <c r="R14" s="51">
        <f ca="1" t="shared" si="14"/>
        <v>0</v>
      </c>
      <c r="S14" s="51">
        <f ca="1" t="shared" si="14"/>
        <v>0</v>
      </c>
      <c r="T14" s="51">
        <f ca="1" t="shared" si="14"/>
        <v>1</v>
      </c>
      <c r="U14" s="51">
        <f ca="1" t="shared" si="14"/>
        <v>24</v>
      </c>
      <c r="V14" s="51">
        <f ca="1" t="shared" si="14"/>
        <v>0</v>
      </c>
      <c r="W14" s="51">
        <f ca="1" t="shared" si="1"/>
        <v>0</v>
      </c>
      <c r="X14" s="51">
        <f>IFERROR(_xlfn.XLOOKUP($B14,社保汇总表!B:B,社保汇总表!G:G),0)</f>
        <v>420.68</v>
      </c>
      <c r="Y14" s="51">
        <f>VLOOKUP($B14,公积金汇总表!$P:$Q,2,0)</f>
        <v>126</v>
      </c>
      <c r="Z14" s="51"/>
      <c r="AA14" s="316" t="str">
        <f ca="1" t="shared" si="4"/>
        <v>迟到1分钟</v>
      </c>
      <c r="AB14" s="316">
        <f ca="1" t="shared" si="2"/>
        <v>0</v>
      </c>
    </row>
    <row r="15" s="349" customFormat="1" ht="22" customHeight="1" spans="1:28">
      <c r="A15" s="370">
        <v>13</v>
      </c>
      <c r="B15" s="51" t="s">
        <v>54</v>
      </c>
      <c r="C15" s="370">
        <v>4</v>
      </c>
      <c r="D15" s="370" t="s">
        <v>27</v>
      </c>
      <c r="E15" s="51" t="s">
        <v>46</v>
      </c>
      <c r="F15" s="371"/>
      <c r="G15" s="51">
        <f ca="1" t="shared" ref="G15:V15" si="15">VLOOKUP($B15,INDIRECT($D15&amp;"!$AG$1:$AY$66"),MATCH(G$1,INDIRECT($D15&amp;"!$AG$1:$AY$1"),0),0)</f>
        <v>24</v>
      </c>
      <c r="H15" s="51">
        <f ca="1" t="shared" si="15"/>
        <v>23</v>
      </c>
      <c r="I15" s="51">
        <f ca="1" t="shared" si="15"/>
        <v>0</v>
      </c>
      <c r="J15" s="51">
        <f ca="1" t="shared" si="15"/>
        <v>0</v>
      </c>
      <c r="K15" s="51">
        <f ca="1" t="shared" si="15"/>
        <v>0</v>
      </c>
      <c r="L15" s="51">
        <f ca="1" t="shared" si="15"/>
        <v>0</v>
      </c>
      <c r="M15" s="51">
        <f ca="1" t="shared" si="15"/>
        <v>0</v>
      </c>
      <c r="N15" s="51">
        <f ca="1" t="shared" si="15"/>
        <v>0</v>
      </c>
      <c r="O15" s="51">
        <f ca="1" t="shared" si="15"/>
        <v>0</v>
      </c>
      <c r="P15" s="51">
        <f ca="1" t="shared" si="15"/>
        <v>0</v>
      </c>
      <c r="Q15" s="51">
        <f ca="1" t="shared" si="15"/>
        <v>0</v>
      </c>
      <c r="R15" s="51">
        <f ca="1" t="shared" si="15"/>
        <v>0</v>
      </c>
      <c r="S15" s="51">
        <f ca="1" t="shared" si="15"/>
        <v>0</v>
      </c>
      <c r="T15" s="51">
        <f ca="1" t="shared" si="15"/>
        <v>1</v>
      </c>
      <c r="U15" s="51">
        <f ca="1" t="shared" si="15"/>
        <v>24</v>
      </c>
      <c r="V15" s="51">
        <f ca="1" t="shared" si="15"/>
        <v>0</v>
      </c>
      <c r="W15" s="51">
        <f ca="1" t="shared" si="1"/>
        <v>200</v>
      </c>
      <c r="X15" s="51"/>
      <c r="Y15" s="51"/>
      <c r="Z15" s="51"/>
      <c r="AA15" s="316" t="str">
        <f ca="1" t="shared" si="4"/>
        <v>全勤</v>
      </c>
      <c r="AB15" s="316">
        <f ca="1" t="shared" si="2"/>
        <v>0</v>
      </c>
    </row>
    <row r="16" s="349" customFormat="1" ht="22" customHeight="1" spans="1:28">
      <c r="A16" s="370">
        <v>14</v>
      </c>
      <c r="B16" s="285" t="s">
        <v>56</v>
      </c>
      <c r="C16" s="370">
        <v>4</v>
      </c>
      <c r="D16" s="370" t="s">
        <v>27</v>
      </c>
      <c r="E16" s="370" t="s">
        <v>57</v>
      </c>
      <c r="F16" s="371">
        <v>43830</v>
      </c>
      <c r="G16" s="51">
        <f ca="1" t="shared" ref="G16:V16" si="16">VLOOKUP($B16,INDIRECT($D16&amp;"!$AG$1:$AY$66"),MATCH(G$1,INDIRECT($D16&amp;"!$AG$1:$AY$1"),0),0)</f>
        <v>24</v>
      </c>
      <c r="H16" s="51">
        <f ca="1" t="shared" si="16"/>
        <v>22</v>
      </c>
      <c r="I16" s="51">
        <f ca="1" t="shared" si="16"/>
        <v>0</v>
      </c>
      <c r="J16" s="51">
        <f ca="1" t="shared" si="16"/>
        <v>0</v>
      </c>
      <c r="K16" s="51">
        <f ca="1" t="shared" si="16"/>
        <v>0</v>
      </c>
      <c r="L16" s="51">
        <f ca="1" t="shared" si="16"/>
        <v>0</v>
      </c>
      <c r="M16" s="51">
        <f ca="1" t="shared" si="16"/>
        <v>1</v>
      </c>
      <c r="N16" s="51">
        <f ca="1" t="shared" si="16"/>
        <v>0</v>
      </c>
      <c r="O16" s="51">
        <f ca="1" t="shared" si="16"/>
        <v>0</v>
      </c>
      <c r="P16" s="51">
        <f ca="1" t="shared" si="16"/>
        <v>0</v>
      </c>
      <c r="Q16" s="51">
        <f ca="1" t="shared" si="16"/>
        <v>0</v>
      </c>
      <c r="R16" s="51">
        <f ca="1" t="shared" si="16"/>
        <v>0</v>
      </c>
      <c r="S16" s="51">
        <f ca="1" t="shared" si="16"/>
        <v>0</v>
      </c>
      <c r="T16" s="51">
        <f ca="1" t="shared" si="16"/>
        <v>1</v>
      </c>
      <c r="U16" s="51">
        <f ca="1" t="shared" si="16"/>
        <v>24</v>
      </c>
      <c r="V16" s="51">
        <f ca="1" t="shared" si="16"/>
        <v>0</v>
      </c>
      <c r="W16" s="51">
        <f ca="1" t="shared" si="1"/>
        <v>200</v>
      </c>
      <c r="X16" s="51">
        <f>IFERROR(_xlfn.XLOOKUP($B16,社保汇总表!B:B,社保汇总表!G:G),0)</f>
        <v>420.68</v>
      </c>
      <c r="Y16" s="51">
        <f>VLOOKUP($B16,公积金汇总表!$P:$Q,2,0)</f>
        <v>118</v>
      </c>
      <c r="Z16" s="51"/>
      <c r="AA16" s="316" t="str">
        <f ca="1" t="shared" si="4"/>
        <v>全勤，年假 8小时(04/01 09:00-04/01 18:30)</v>
      </c>
      <c r="AB16" s="316">
        <f ca="1" t="shared" si="2"/>
        <v>0</v>
      </c>
    </row>
    <row r="17" s="349" customFormat="1" ht="22" customHeight="1" spans="1:28">
      <c r="A17" s="370">
        <v>15</v>
      </c>
      <c r="B17" s="372" t="s">
        <v>59</v>
      </c>
      <c r="C17" s="370">
        <v>4</v>
      </c>
      <c r="D17" s="370" t="s">
        <v>27</v>
      </c>
      <c r="E17" s="370" t="s">
        <v>57</v>
      </c>
      <c r="F17" s="371">
        <v>45546</v>
      </c>
      <c r="G17" s="51">
        <f ca="1" t="shared" ref="G17:V17" si="17">VLOOKUP($B17,INDIRECT($D17&amp;"!$AG$1:$AY$66"),MATCH(G$1,INDIRECT($D17&amp;"!$AG$1:$AY$1"),0),0)</f>
        <v>24</v>
      </c>
      <c r="H17" s="51">
        <f ca="1" t="shared" si="17"/>
        <v>13</v>
      </c>
      <c r="I17" s="51">
        <f ca="1" t="shared" si="17"/>
        <v>0</v>
      </c>
      <c r="J17" s="51">
        <f ca="1" t="shared" si="17"/>
        <v>0</v>
      </c>
      <c r="K17" s="51">
        <f ca="1" t="shared" si="17"/>
        <v>0</v>
      </c>
      <c r="L17" s="51">
        <f ca="1" t="shared" si="17"/>
        <v>1</v>
      </c>
      <c r="M17" s="51">
        <f ca="1" t="shared" si="17"/>
        <v>0</v>
      </c>
      <c r="N17" s="51">
        <f ca="1" t="shared" si="17"/>
        <v>0</v>
      </c>
      <c r="O17" s="51">
        <f ca="1" t="shared" si="17"/>
        <v>0</v>
      </c>
      <c r="P17" s="51">
        <f ca="1" t="shared" si="17"/>
        <v>0</v>
      </c>
      <c r="Q17" s="51">
        <f ca="1" t="shared" si="17"/>
        <v>0</v>
      </c>
      <c r="R17" s="51">
        <f ca="1" t="shared" si="17"/>
        <v>0</v>
      </c>
      <c r="S17" s="51">
        <f ca="1" t="shared" si="17"/>
        <v>0</v>
      </c>
      <c r="T17" s="51">
        <f ca="1" t="shared" si="17"/>
        <v>1</v>
      </c>
      <c r="U17" s="51">
        <f ca="1" t="shared" si="17"/>
        <v>14</v>
      </c>
      <c r="V17" s="51">
        <f ca="1" t="shared" si="17"/>
        <v>0</v>
      </c>
      <c r="W17" s="51">
        <f ca="1" t="shared" si="1"/>
        <v>0</v>
      </c>
      <c r="X17" s="51">
        <f>IFERROR(_xlfn.XLOOKUP($B17,社保汇总表!B:B,社保汇总表!G:G),0)</f>
        <v>420.68</v>
      </c>
      <c r="Y17" s="51">
        <f>VLOOKUP($B17,公积金汇总表!$P:$Q,2,0)</f>
        <v>118</v>
      </c>
      <c r="Z17" s="51"/>
      <c r="AA17" s="316" t="str">
        <f ca="1" t="shared" si="4"/>
        <v>事假 8小时(04/10 09:00-04/10 18:30),18日离职</v>
      </c>
      <c r="AB17" s="316">
        <f ca="1" t="shared" si="2"/>
        <v>0</v>
      </c>
    </row>
    <row r="18" s="349" customFormat="1" ht="22" customHeight="1" spans="1:28">
      <c r="A18" s="370">
        <v>16</v>
      </c>
      <c r="B18" s="373" t="s">
        <v>61</v>
      </c>
      <c r="C18" s="370">
        <v>4</v>
      </c>
      <c r="D18" s="370" t="s">
        <v>27</v>
      </c>
      <c r="E18" s="370" t="s">
        <v>57</v>
      </c>
      <c r="F18" s="371"/>
      <c r="G18" s="51">
        <f ca="1" t="shared" ref="G18:V18" si="18">VLOOKUP($B18,INDIRECT($D18&amp;"!$AG$1:$AY$66"),MATCH(G$1,INDIRECT($D18&amp;"!$AG$1:$AY$1"),0),0)</f>
        <v>24</v>
      </c>
      <c r="H18" s="51">
        <f ca="1" t="shared" si="18"/>
        <v>15</v>
      </c>
      <c r="I18" s="51">
        <f ca="1" t="shared" si="18"/>
        <v>0</v>
      </c>
      <c r="J18" s="51">
        <f ca="1" t="shared" si="18"/>
        <v>0</v>
      </c>
      <c r="K18" s="51">
        <f ca="1" t="shared" si="18"/>
        <v>0</v>
      </c>
      <c r="L18" s="51">
        <f ca="1" t="shared" si="18"/>
        <v>0</v>
      </c>
      <c r="M18" s="51">
        <f ca="1" t="shared" si="18"/>
        <v>0</v>
      </c>
      <c r="N18" s="51">
        <f ca="1" t="shared" si="18"/>
        <v>0</v>
      </c>
      <c r="O18" s="51">
        <f ca="1" t="shared" si="18"/>
        <v>0</v>
      </c>
      <c r="P18" s="51">
        <f ca="1" t="shared" si="18"/>
        <v>0</v>
      </c>
      <c r="Q18" s="51">
        <f ca="1" t="shared" si="18"/>
        <v>0</v>
      </c>
      <c r="R18" s="51">
        <f ca="1" t="shared" si="18"/>
        <v>0</v>
      </c>
      <c r="S18" s="51">
        <f ca="1" t="shared" si="18"/>
        <v>0</v>
      </c>
      <c r="T18" s="51">
        <f ca="1" t="shared" si="18"/>
        <v>0</v>
      </c>
      <c r="U18" s="51">
        <f ca="1" t="shared" si="18"/>
        <v>15</v>
      </c>
      <c r="V18" s="51">
        <f ca="1" t="shared" si="18"/>
        <v>0</v>
      </c>
      <c r="W18" s="51">
        <f ca="1" t="shared" si="1"/>
        <v>0</v>
      </c>
      <c r="X18" s="51">
        <f>IFERROR(_xlfn.XLOOKUP($B18,社保汇总表!B:B,社保汇总表!G:G),0)</f>
        <v>521.58</v>
      </c>
      <c r="Y18" s="51">
        <f>VLOOKUP($B18,公积金汇总表!$P:$Q,2,0)</f>
        <v>126</v>
      </c>
      <c r="Z18" s="51"/>
      <c r="AA18" s="316" t="str">
        <f ca="1" t="shared" si="4"/>
        <v>13日入职</v>
      </c>
      <c r="AB18" s="316">
        <f ca="1" t="shared" si="2"/>
        <v>0</v>
      </c>
    </row>
    <row r="19" s="349" customFormat="1" ht="22" customHeight="1" spans="1:28">
      <c r="A19" s="370">
        <v>17</v>
      </c>
      <c r="B19" s="285" t="s">
        <v>63</v>
      </c>
      <c r="C19" s="370">
        <v>4</v>
      </c>
      <c r="D19" s="370" t="s">
        <v>27</v>
      </c>
      <c r="E19" s="370" t="s">
        <v>64</v>
      </c>
      <c r="F19" s="371">
        <v>43781</v>
      </c>
      <c r="G19" s="51">
        <f ca="1" t="shared" ref="G19:V19" si="19">VLOOKUP($B19,INDIRECT($D19&amp;"!$AG$1:$AY$66"),MATCH(G$1,INDIRECT($D19&amp;"!$AG$1:$AY$1"),0),0)</f>
        <v>24</v>
      </c>
      <c r="H19" s="51">
        <f ca="1" t="shared" si="19"/>
        <v>23</v>
      </c>
      <c r="I19" s="51">
        <f ca="1" t="shared" si="19"/>
        <v>1</v>
      </c>
      <c r="J19" s="51">
        <f ca="1" t="shared" si="19"/>
        <v>2</v>
      </c>
      <c r="K19" s="51">
        <f ca="1" t="shared" si="19"/>
        <v>0</v>
      </c>
      <c r="L19" s="51">
        <f ca="1" t="shared" si="19"/>
        <v>0</v>
      </c>
      <c r="M19" s="51">
        <f ca="1" t="shared" si="19"/>
        <v>0</v>
      </c>
      <c r="N19" s="51">
        <f ca="1" t="shared" si="19"/>
        <v>0</v>
      </c>
      <c r="O19" s="51">
        <f ca="1" t="shared" si="19"/>
        <v>0</v>
      </c>
      <c r="P19" s="51">
        <f ca="1" t="shared" si="19"/>
        <v>0</v>
      </c>
      <c r="Q19" s="51">
        <f ca="1" t="shared" si="19"/>
        <v>0</v>
      </c>
      <c r="R19" s="51">
        <f ca="1" t="shared" si="19"/>
        <v>0</v>
      </c>
      <c r="S19" s="51">
        <f ca="1" t="shared" si="19"/>
        <v>0</v>
      </c>
      <c r="T19" s="51">
        <f ca="1" t="shared" si="19"/>
        <v>1</v>
      </c>
      <c r="U19" s="51">
        <f ca="1" t="shared" si="19"/>
        <v>24</v>
      </c>
      <c r="V19" s="51">
        <f ca="1" t="shared" si="19"/>
        <v>0</v>
      </c>
      <c r="W19" s="51">
        <f ca="1" t="shared" si="1"/>
        <v>0</v>
      </c>
      <c r="X19" s="51">
        <f>IFERROR(_xlfn.XLOOKUP($B19,社保汇总表!B:B,社保汇总表!G:G),0)</f>
        <v>521.58</v>
      </c>
      <c r="Y19" s="51">
        <f>VLOOKUP($B19,公积金汇总表!$P:$Q,2,0)</f>
        <v>118</v>
      </c>
      <c r="Z19" s="51"/>
      <c r="AA19" s="316" t="str">
        <f ca="1" t="shared" si="4"/>
        <v>缺卡2次，迟到1分钟</v>
      </c>
      <c r="AB19" s="316">
        <f ca="1" t="shared" si="2"/>
        <v>12.5</v>
      </c>
    </row>
    <row r="20" s="349" customFormat="1" ht="22" customHeight="1" spans="1:28">
      <c r="A20" s="370">
        <v>18</v>
      </c>
      <c r="B20" s="288" t="s">
        <v>66</v>
      </c>
      <c r="C20" s="370">
        <v>4</v>
      </c>
      <c r="D20" s="370" t="s">
        <v>27</v>
      </c>
      <c r="E20" s="370" t="s">
        <v>64</v>
      </c>
      <c r="F20" s="371">
        <v>46096</v>
      </c>
      <c r="G20" s="51">
        <f ca="1" t="shared" ref="G20:V20" si="20">VLOOKUP($B20,INDIRECT($D20&amp;"!$AG$1:$AY$66"),MATCH(G$1,INDIRECT($D20&amp;"!$AG$1:$AY$1"),0),0)</f>
        <v>24</v>
      </c>
      <c r="H20" s="51">
        <f ca="1" t="shared" si="20"/>
        <v>23</v>
      </c>
      <c r="I20" s="51">
        <f ca="1" t="shared" si="20"/>
        <v>0</v>
      </c>
      <c r="J20" s="51">
        <f ca="1" t="shared" si="20"/>
        <v>0</v>
      </c>
      <c r="K20" s="51">
        <f ca="1" t="shared" si="20"/>
        <v>0</v>
      </c>
      <c r="L20" s="51">
        <f ca="1" t="shared" si="20"/>
        <v>0</v>
      </c>
      <c r="M20" s="51">
        <f ca="1" t="shared" si="20"/>
        <v>0</v>
      </c>
      <c r="N20" s="51">
        <f ca="1" t="shared" si="20"/>
        <v>0</v>
      </c>
      <c r="O20" s="51">
        <f ca="1" t="shared" si="20"/>
        <v>0</v>
      </c>
      <c r="P20" s="51">
        <f ca="1" t="shared" si="20"/>
        <v>0</v>
      </c>
      <c r="Q20" s="51">
        <f ca="1" t="shared" si="20"/>
        <v>0</v>
      </c>
      <c r="R20" s="51">
        <f ca="1" t="shared" si="20"/>
        <v>0</v>
      </c>
      <c r="S20" s="51">
        <f ca="1" t="shared" si="20"/>
        <v>0</v>
      </c>
      <c r="T20" s="51">
        <f ca="1" t="shared" si="20"/>
        <v>1</v>
      </c>
      <c r="U20" s="51">
        <f ca="1" t="shared" si="20"/>
        <v>24</v>
      </c>
      <c r="V20" s="51">
        <f ca="1" t="shared" si="20"/>
        <v>0</v>
      </c>
      <c r="W20" s="51">
        <f ca="1" t="shared" si="1"/>
        <v>200</v>
      </c>
      <c r="X20" s="51">
        <f>IFERROR(_xlfn.XLOOKUP($B20,社保汇总表!B:B,社保汇总表!G:G),0)</f>
        <v>521.58</v>
      </c>
      <c r="Y20" s="51">
        <f>VLOOKUP($B20,公积金汇总表!$P:$Q,2,0)</f>
        <v>126</v>
      </c>
      <c r="Z20" s="51"/>
      <c r="AA20" s="316" t="str">
        <f ca="1" t="shared" si="4"/>
        <v>全勤</v>
      </c>
      <c r="AB20" s="316">
        <f ca="1" t="shared" si="2"/>
        <v>24</v>
      </c>
    </row>
    <row r="21" s="349" customFormat="1" ht="22" customHeight="1" spans="1:28">
      <c r="A21" s="370">
        <v>19</v>
      </c>
      <c r="B21" s="285" t="s">
        <v>68</v>
      </c>
      <c r="C21" s="370">
        <v>4</v>
      </c>
      <c r="D21" s="370" t="s">
        <v>27</v>
      </c>
      <c r="E21" s="370" t="s">
        <v>69</v>
      </c>
      <c r="F21" s="371">
        <v>45848</v>
      </c>
      <c r="G21" s="51">
        <f ca="1" t="shared" ref="G21:V21" si="21">VLOOKUP($B21,INDIRECT($D21&amp;"!$AG$1:$AY$66"),MATCH(G$1,INDIRECT($D21&amp;"!$AG$1:$AY$1"),0),0)</f>
        <v>24</v>
      </c>
      <c r="H21" s="51">
        <f ca="1" t="shared" si="21"/>
        <v>23</v>
      </c>
      <c r="I21" s="51">
        <f ca="1" t="shared" si="21"/>
        <v>0</v>
      </c>
      <c r="J21" s="51">
        <f ca="1" t="shared" si="21"/>
        <v>0</v>
      </c>
      <c r="K21" s="51">
        <f ca="1" t="shared" si="21"/>
        <v>0</v>
      </c>
      <c r="L21" s="51">
        <f ca="1" t="shared" si="21"/>
        <v>0</v>
      </c>
      <c r="M21" s="51">
        <f ca="1" t="shared" si="21"/>
        <v>0</v>
      </c>
      <c r="N21" s="51">
        <f ca="1" t="shared" si="21"/>
        <v>0</v>
      </c>
      <c r="O21" s="51">
        <f ca="1" t="shared" si="21"/>
        <v>0</v>
      </c>
      <c r="P21" s="51">
        <f ca="1" t="shared" si="21"/>
        <v>0</v>
      </c>
      <c r="Q21" s="51">
        <f ca="1" t="shared" si="21"/>
        <v>0</v>
      </c>
      <c r="R21" s="51">
        <f ca="1" t="shared" si="21"/>
        <v>0</v>
      </c>
      <c r="S21" s="51">
        <f ca="1" t="shared" si="21"/>
        <v>0</v>
      </c>
      <c r="T21" s="51">
        <f ca="1" t="shared" si="21"/>
        <v>1</v>
      </c>
      <c r="U21" s="51">
        <f ca="1" t="shared" si="21"/>
        <v>24</v>
      </c>
      <c r="V21" s="51">
        <f ca="1" t="shared" si="21"/>
        <v>0</v>
      </c>
      <c r="W21" s="51">
        <f ca="1" t="shared" si="1"/>
        <v>200</v>
      </c>
      <c r="X21" s="51">
        <f>IFERROR(_xlfn.XLOOKUP($B21,社保汇总表!B:B,社保汇总表!G:G),0)</f>
        <v>420.68</v>
      </c>
      <c r="Y21" s="51">
        <f>VLOOKUP($B21,公积金汇总表!$P:$Q,2,0)</f>
        <v>126</v>
      </c>
      <c r="Z21" s="51"/>
      <c r="AA21" s="316" t="str">
        <f ca="1" t="shared" si="4"/>
        <v>全勤</v>
      </c>
      <c r="AB21" s="316">
        <f ca="1" t="shared" si="2"/>
        <v>8</v>
      </c>
    </row>
    <row r="22" s="349" customFormat="1" ht="22" customHeight="1" spans="1:28">
      <c r="A22" s="370">
        <v>20</v>
      </c>
      <c r="B22" s="51" t="s">
        <v>71</v>
      </c>
      <c r="C22" s="370">
        <v>4</v>
      </c>
      <c r="D22" s="370" t="s">
        <v>27</v>
      </c>
      <c r="E22" s="370" t="s">
        <v>69</v>
      </c>
      <c r="F22" s="371"/>
      <c r="G22" s="51">
        <f ca="1" t="shared" ref="G22:V22" si="22">VLOOKUP($B22,INDIRECT($D22&amp;"!$AG$1:$AY$66"),MATCH(G$1,INDIRECT($D22&amp;"!$AG$1:$AY$1"),0),0)</f>
        <v>24</v>
      </c>
      <c r="H22" s="51">
        <f ca="1" t="shared" si="22"/>
        <v>21.56</v>
      </c>
      <c r="I22" s="51">
        <f ca="1" t="shared" si="22"/>
        <v>0</v>
      </c>
      <c r="J22" s="51">
        <f ca="1" t="shared" si="22"/>
        <v>0</v>
      </c>
      <c r="K22" s="51">
        <f ca="1" t="shared" si="22"/>
        <v>0</v>
      </c>
      <c r="L22" s="51">
        <f ca="1" t="shared" si="22"/>
        <v>1.44</v>
      </c>
      <c r="M22" s="51">
        <f ca="1" t="shared" si="22"/>
        <v>0</v>
      </c>
      <c r="N22" s="51">
        <f ca="1" t="shared" si="22"/>
        <v>0</v>
      </c>
      <c r="O22" s="51">
        <f ca="1" t="shared" si="22"/>
        <v>0</v>
      </c>
      <c r="P22" s="51">
        <f ca="1" t="shared" si="22"/>
        <v>0</v>
      </c>
      <c r="Q22" s="51">
        <f ca="1" t="shared" si="22"/>
        <v>0</v>
      </c>
      <c r="R22" s="51">
        <f ca="1" t="shared" si="22"/>
        <v>0</v>
      </c>
      <c r="S22" s="51">
        <f ca="1" t="shared" si="22"/>
        <v>0</v>
      </c>
      <c r="T22" s="51">
        <f ca="1" t="shared" si="22"/>
        <v>1</v>
      </c>
      <c r="U22" s="51">
        <f ca="1" t="shared" si="22"/>
        <v>22.56</v>
      </c>
      <c r="V22" s="51">
        <f ca="1" t="shared" si="22"/>
        <v>0</v>
      </c>
      <c r="W22" s="51">
        <f ca="1" t="shared" si="1"/>
        <v>0</v>
      </c>
      <c r="X22" s="51">
        <f>IFERROR(_xlfn.XLOOKUP($B22,社保汇总表!B:B,社保汇总表!G:G),0)</f>
        <v>420.68</v>
      </c>
      <c r="Y22" s="51">
        <f>VLOOKUP($B22,公积金汇总表!$P:$Q,2,0)</f>
        <v>126</v>
      </c>
      <c r="Z22" s="51"/>
      <c r="AA22" s="316" t="str">
        <f ca="1" t="shared" si="4"/>
        <v>事假 3.5小时(04/07 09:00-04/07 12:30);事假 8小时(04/16 09:00-04/16 18:30)</v>
      </c>
      <c r="AB22" s="316">
        <f ca="1" t="shared" si="2"/>
        <v>5.5</v>
      </c>
    </row>
    <row r="23" s="349" customFormat="1" ht="22" customHeight="1" spans="1:28">
      <c r="A23" s="370">
        <v>21</v>
      </c>
      <c r="B23" s="51" t="s">
        <v>73</v>
      </c>
      <c r="C23" s="370">
        <v>4</v>
      </c>
      <c r="D23" s="370" t="s">
        <v>27</v>
      </c>
      <c r="E23" s="370" t="s">
        <v>69</v>
      </c>
      <c r="F23" s="371"/>
      <c r="G23" s="51">
        <f ca="1" t="shared" ref="G23:V23" si="23">VLOOKUP($B23,INDIRECT($D23&amp;"!$AG$1:$AY$66"),MATCH(G$1,INDIRECT($D23&amp;"!$AG$1:$AY$1"),0),0)</f>
        <v>24</v>
      </c>
      <c r="H23" s="51">
        <f ca="1" t="shared" si="23"/>
        <v>23</v>
      </c>
      <c r="I23" s="51">
        <f ca="1" t="shared" si="23"/>
        <v>0</v>
      </c>
      <c r="J23" s="51">
        <f ca="1" t="shared" si="23"/>
        <v>0</v>
      </c>
      <c r="K23" s="51">
        <f ca="1" t="shared" si="23"/>
        <v>0</v>
      </c>
      <c r="L23" s="51">
        <f ca="1" t="shared" si="23"/>
        <v>0</v>
      </c>
      <c r="M23" s="51">
        <f ca="1" t="shared" si="23"/>
        <v>0</v>
      </c>
      <c r="N23" s="51">
        <f ca="1" t="shared" si="23"/>
        <v>0</v>
      </c>
      <c r="O23" s="51">
        <f ca="1" t="shared" si="23"/>
        <v>0</v>
      </c>
      <c r="P23" s="51">
        <f ca="1" t="shared" si="23"/>
        <v>0</v>
      </c>
      <c r="Q23" s="51">
        <f ca="1" t="shared" si="23"/>
        <v>0</v>
      </c>
      <c r="R23" s="51">
        <f ca="1" t="shared" si="23"/>
        <v>0</v>
      </c>
      <c r="S23" s="51">
        <f ca="1" t="shared" si="23"/>
        <v>0</v>
      </c>
      <c r="T23" s="51">
        <f ca="1" t="shared" si="23"/>
        <v>1</v>
      </c>
      <c r="U23" s="51">
        <f ca="1" t="shared" si="23"/>
        <v>24</v>
      </c>
      <c r="V23" s="51">
        <f ca="1" t="shared" si="23"/>
        <v>0</v>
      </c>
      <c r="W23" s="51">
        <f ca="1" t="shared" si="1"/>
        <v>200</v>
      </c>
      <c r="X23" s="51">
        <f>IFERROR(_xlfn.XLOOKUP($B23,社保汇总表!B:B,社保汇总表!G:G),0)</f>
        <v>420.68</v>
      </c>
      <c r="Y23" s="51">
        <f>VLOOKUP($B23,公积金汇总表!$P:$Q,2,0)</f>
        <v>126</v>
      </c>
      <c r="Z23" s="51"/>
      <c r="AA23" s="316" t="str">
        <f ca="1" t="shared" si="4"/>
        <v>全勤</v>
      </c>
      <c r="AB23" s="316">
        <f ca="1" t="shared" si="2"/>
        <v>5.5</v>
      </c>
    </row>
    <row r="24" s="349" customFormat="1" ht="22" customHeight="1" spans="1:28">
      <c r="A24" s="370">
        <v>22</v>
      </c>
      <c r="B24" s="285" t="s">
        <v>75</v>
      </c>
      <c r="C24" s="370">
        <v>4</v>
      </c>
      <c r="D24" s="370" t="s">
        <v>27</v>
      </c>
      <c r="E24" s="370" t="s">
        <v>76</v>
      </c>
      <c r="F24" s="371">
        <v>44696</v>
      </c>
      <c r="G24" s="51">
        <f ca="1" t="shared" ref="G24:V24" si="24">VLOOKUP($B24,INDIRECT($D24&amp;"!$AG$1:$AY$66"),MATCH(G$1,INDIRECT($D24&amp;"!$AG$1:$AY$1"),0),0)</f>
        <v>24</v>
      </c>
      <c r="H24" s="51">
        <f ca="1" t="shared" si="24"/>
        <v>23</v>
      </c>
      <c r="I24" s="51">
        <f ca="1" t="shared" si="24"/>
        <v>0</v>
      </c>
      <c r="J24" s="51">
        <f ca="1" t="shared" si="24"/>
        <v>0</v>
      </c>
      <c r="K24" s="51">
        <f ca="1" t="shared" si="24"/>
        <v>0</v>
      </c>
      <c r="L24" s="51">
        <f ca="1" t="shared" si="24"/>
        <v>0</v>
      </c>
      <c r="M24" s="51">
        <f ca="1" t="shared" si="24"/>
        <v>0</v>
      </c>
      <c r="N24" s="51">
        <f ca="1" t="shared" si="24"/>
        <v>0</v>
      </c>
      <c r="O24" s="51">
        <f ca="1" t="shared" si="24"/>
        <v>0</v>
      </c>
      <c r="P24" s="51">
        <f ca="1" t="shared" si="24"/>
        <v>0</v>
      </c>
      <c r="Q24" s="51">
        <f ca="1" t="shared" si="24"/>
        <v>0</v>
      </c>
      <c r="R24" s="51">
        <f ca="1" t="shared" si="24"/>
        <v>0</v>
      </c>
      <c r="S24" s="51">
        <f ca="1" t="shared" si="24"/>
        <v>0</v>
      </c>
      <c r="T24" s="51">
        <f ca="1" t="shared" si="24"/>
        <v>1</v>
      </c>
      <c r="U24" s="51">
        <f ca="1" t="shared" si="24"/>
        <v>24</v>
      </c>
      <c r="V24" s="51">
        <f ca="1" t="shared" si="24"/>
        <v>0</v>
      </c>
      <c r="W24" s="51">
        <f ca="1" t="shared" si="1"/>
        <v>200</v>
      </c>
      <c r="X24" s="51">
        <f>IFERROR(_xlfn.XLOOKUP($B24,社保汇总表!B:B,社保汇总表!G:G),0)</f>
        <v>420.68</v>
      </c>
      <c r="Y24" s="51">
        <f>VLOOKUP($B24,公积金汇总表!$P:$Q,2,0)</f>
        <v>126</v>
      </c>
      <c r="Z24" s="51"/>
      <c r="AA24" s="316" t="str">
        <f ca="1" t="shared" si="4"/>
        <v>全勤，加班 4.5小时后调休(04/11 14:00-04/11 18:30)</v>
      </c>
      <c r="AB24" s="316">
        <f ca="1" t="shared" si="2"/>
        <v>29</v>
      </c>
    </row>
    <row r="25" s="349" customFormat="1" ht="22" customHeight="1" spans="1:28">
      <c r="A25" s="370">
        <v>23</v>
      </c>
      <c r="B25" s="285" t="s">
        <v>78</v>
      </c>
      <c r="C25" s="370">
        <v>4</v>
      </c>
      <c r="D25" s="370" t="s">
        <v>27</v>
      </c>
      <c r="E25" s="370" t="s">
        <v>76</v>
      </c>
      <c r="F25" s="371">
        <v>44958</v>
      </c>
      <c r="G25" s="51">
        <f ca="1" t="shared" ref="G25:V25" si="25">VLOOKUP($B25,INDIRECT($D25&amp;"!$AG$1:$AY$66"),MATCH(G$1,INDIRECT($D25&amp;"!$AG$1:$AY$1"),0),0)</f>
        <v>24</v>
      </c>
      <c r="H25" s="51">
        <f ca="1" t="shared" si="25"/>
        <v>22</v>
      </c>
      <c r="I25" s="51">
        <f ca="1" t="shared" si="25"/>
        <v>0</v>
      </c>
      <c r="J25" s="51">
        <f ca="1" t="shared" si="25"/>
        <v>0</v>
      </c>
      <c r="K25" s="51">
        <f ca="1" t="shared" si="25"/>
        <v>0</v>
      </c>
      <c r="L25" s="51">
        <f ca="1" t="shared" si="25"/>
        <v>0</v>
      </c>
      <c r="M25" s="51">
        <f ca="1" t="shared" si="25"/>
        <v>1</v>
      </c>
      <c r="N25" s="51">
        <f ca="1" t="shared" si="25"/>
        <v>0</v>
      </c>
      <c r="O25" s="51">
        <f ca="1" t="shared" si="25"/>
        <v>0</v>
      </c>
      <c r="P25" s="51">
        <f ca="1" t="shared" si="25"/>
        <v>0</v>
      </c>
      <c r="Q25" s="51">
        <f ca="1" t="shared" si="25"/>
        <v>0</v>
      </c>
      <c r="R25" s="51">
        <f ca="1" t="shared" si="25"/>
        <v>0</v>
      </c>
      <c r="S25" s="51">
        <f ca="1" t="shared" si="25"/>
        <v>0</v>
      </c>
      <c r="T25" s="51">
        <f ca="1" t="shared" si="25"/>
        <v>1</v>
      </c>
      <c r="U25" s="51">
        <f ca="1" t="shared" si="25"/>
        <v>24</v>
      </c>
      <c r="V25" s="51">
        <f ca="1" t="shared" si="25"/>
        <v>0</v>
      </c>
      <c r="W25" s="51">
        <f ca="1" t="shared" si="1"/>
        <v>200</v>
      </c>
      <c r="X25" s="51">
        <f>IFERROR(_xlfn.XLOOKUP($B25,社保汇总表!B:B,社保汇总表!G:G),0)</f>
        <v>420.68</v>
      </c>
      <c r="Y25" s="51">
        <f>VLOOKUP($B25,公积金汇总表!$P:$Q,2,0)</f>
        <v>118</v>
      </c>
      <c r="Z25" s="51"/>
      <c r="AA25" s="316" t="str">
        <f ca="1" t="shared" si="4"/>
        <v>全勤，年假 8小时(04/18 09:00-04/18 18:30)</v>
      </c>
      <c r="AB25" s="316">
        <f ca="1" t="shared" si="2"/>
        <v>20</v>
      </c>
    </row>
    <row r="26" s="349" customFormat="1" ht="22" customHeight="1" spans="1:28">
      <c r="A26" s="370">
        <v>24</v>
      </c>
      <c r="B26" s="374" t="s">
        <v>80</v>
      </c>
      <c r="C26" s="370">
        <v>4</v>
      </c>
      <c r="D26" s="370" t="s">
        <v>27</v>
      </c>
      <c r="E26" s="370" t="s">
        <v>76</v>
      </c>
      <c r="F26" s="371">
        <v>45597</v>
      </c>
      <c r="G26" s="51">
        <f ca="1" t="shared" ref="G26:V26" si="26">VLOOKUP($B26,INDIRECT($D26&amp;"!$AG$1:$AY$66"),MATCH(G$1,INDIRECT($D26&amp;"!$AG$1:$AY$1"),0),0)</f>
        <v>24</v>
      </c>
      <c r="H26" s="51">
        <f ca="1" t="shared" si="26"/>
        <v>18</v>
      </c>
      <c r="I26" s="51">
        <f ca="1" t="shared" si="26"/>
        <v>0</v>
      </c>
      <c r="J26" s="51">
        <f ca="1" t="shared" si="26"/>
        <v>0</v>
      </c>
      <c r="K26" s="51">
        <f ca="1" t="shared" si="26"/>
        <v>0</v>
      </c>
      <c r="L26" s="51">
        <f ca="1" t="shared" si="26"/>
        <v>0</v>
      </c>
      <c r="M26" s="51">
        <f ca="1" t="shared" si="26"/>
        <v>1</v>
      </c>
      <c r="N26" s="51">
        <f ca="1" t="shared" si="26"/>
        <v>0</v>
      </c>
      <c r="O26" s="51">
        <f ca="1" t="shared" si="26"/>
        <v>0</v>
      </c>
      <c r="P26" s="51">
        <f ca="1" t="shared" si="26"/>
        <v>0</v>
      </c>
      <c r="Q26" s="51">
        <f ca="1" t="shared" si="26"/>
        <v>5</v>
      </c>
      <c r="R26" s="51">
        <f ca="1" t="shared" si="26"/>
        <v>0</v>
      </c>
      <c r="S26" s="51">
        <f ca="1" t="shared" si="26"/>
        <v>0</v>
      </c>
      <c r="T26" s="51">
        <f ca="1" t="shared" si="26"/>
        <v>0</v>
      </c>
      <c r="U26" s="51">
        <f ca="1" t="shared" si="26"/>
        <v>19</v>
      </c>
      <c r="V26" s="51">
        <f ca="1" t="shared" si="26"/>
        <v>0</v>
      </c>
      <c r="W26" s="51">
        <f ca="1" t="shared" si="1"/>
        <v>0</v>
      </c>
      <c r="X26" s="51">
        <f>IFERROR(_xlfn.XLOOKUP($B26,社保汇总表!B:B,社保汇总表!G:G),0)</f>
        <v>420.68</v>
      </c>
      <c r="Y26" s="51">
        <f>VLOOKUP($B26,公积金汇总表!$P:$Q,2,0)</f>
        <v>118</v>
      </c>
      <c r="Z26" s="51"/>
      <c r="AA26" s="316" t="str">
        <f ca="1" t="shared" si="4"/>
        <v>本月1-5号产假共5天;年假 8小时(04/23 09:00-04/23 18:30)，按人力行政制度哺乳未满1周岁的孩童每天享有1小时哺乳假。</v>
      </c>
      <c r="AB26" s="316">
        <f ca="1" t="shared" si="2"/>
        <v>0</v>
      </c>
    </row>
    <row r="27" s="349" customFormat="1" ht="22" customHeight="1" spans="1:28">
      <c r="A27" s="370">
        <v>25</v>
      </c>
      <c r="B27" s="375" t="s">
        <v>82</v>
      </c>
      <c r="C27" s="370">
        <v>4</v>
      </c>
      <c r="D27" s="370" t="s">
        <v>27</v>
      </c>
      <c r="E27" s="370" t="s">
        <v>83</v>
      </c>
      <c r="F27" s="371">
        <v>45169</v>
      </c>
      <c r="G27" s="51">
        <f ca="1" t="shared" ref="G27:V27" si="27">VLOOKUP($B27,INDIRECT($D27&amp;"!$AG$1:$AY$66"),MATCH(G$1,INDIRECT($D27&amp;"!$AG$1:$AY$1"),0),0)</f>
        <v>24</v>
      </c>
      <c r="H27" s="51">
        <f ca="1" t="shared" si="27"/>
        <v>22</v>
      </c>
      <c r="I27" s="51">
        <f ca="1" t="shared" si="27"/>
        <v>0</v>
      </c>
      <c r="J27" s="51">
        <f ca="1" t="shared" si="27"/>
        <v>0</v>
      </c>
      <c r="K27" s="51">
        <f ca="1" t="shared" si="27"/>
        <v>0</v>
      </c>
      <c r="L27" s="51">
        <f ca="1" t="shared" si="27"/>
        <v>1</v>
      </c>
      <c r="M27" s="51">
        <f ca="1" t="shared" si="27"/>
        <v>0</v>
      </c>
      <c r="N27" s="51">
        <f ca="1" t="shared" si="27"/>
        <v>0</v>
      </c>
      <c r="O27" s="51">
        <f ca="1" t="shared" si="27"/>
        <v>0</v>
      </c>
      <c r="P27" s="51">
        <f ca="1" t="shared" si="27"/>
        <v>0</v>
      </c>
      <c r="Q27" s="51">
        <f ca="1" t="shared" si="27"/>
        <v>0</v>
      </c>
      <c r="R27" s="51">
        <f ca="1" t="shared" si="27"/>
        <v>0</v>
      </c>
      <c r="S27" s="51">
        <f ca="1" t="shared" si="27"/>
        <v>0</v>
      </c>
      <c r="T27" s="51">
        <f ca="1" t="shared" si="27"/>
        <v>1</v>
      </c>
      <c r="U27" s="51">
        <f ca="1" t="shared" si="27"/>
        <v>23</v>
      </c>
      <c r="V27" s="51">
        <f ca="1" t="shared" si="27"/>
        <v>0</v>
      </c>
      <c r="W27" s="51">
        <f ca="1" t="shared" si="1"/>
        <v>0</v>
      </c>
      <c r="X27" s="51">
        <f>IFERROR(_xlfn.XLOOKUP($B27,社保汇总表!B:B,社保汇总表!G:G),0)</f>
        <v>521.58</v>
      </c>
      <c r="Y27" s="51">
        <f>VLOOKUP($B27,公积金汇总表!$P:$Q,2,0)</f>
        <v>126</v>
      </c>
      <c r="Z27" s="51"/>
      <c r="AA27" s="316" t="str">
        <f ca="1" t="shared" si="4"/>
        <v>事假 8小时(04/24 09:00-04/24 18:30)，30日离职</v>
      </c>
      <c r="AB27" s="316">
        <f ca="1" t="shared" si="2"/>
        <v>0</v>
      </c>
    </row>
    <row r="28" s="349" customFormat="1" ht="22" customHeight="1" spans="1:28">
      <c r="A28" s="370">
        <v>26</v>
      </c>
      <c r="B28" s="285" t="s">
        <v>85</v>
      </c>
      <c r="C28" s="370">
        <v>4</v>
      </c>
      <c r="D28" s="370" t="s">
        <v>27</v>
      </c>
      <c r="E28" s="370" t="s">
        <v>83</v>
      </c>
      <c r="F28" s="371">
        <v>45486</v>
      </c>
      <c r="G28" s="51">
        <f ca="1" t="shared" ref="G28:V28" si="28">VLOOKUP($B28,INDIRECT($D28&amp;"!$AG$1:$AY$66"),MATCH(G$1,INDIRECT($D28&amp;"!$AG$1:$AY$1"),0),0)</f>
        <v>24</v>
      </c>
      <c r="H28" s="51">
        <f ca="1" t="shared" si="28"/>
        <v>22</v>
      </c>
      <c r="I28" s="51">
        <f ca="1" t="shared" si="28"/>
        <v>0</v>
      </c>
      <c r="J28" s="51">
        <f ca="1" t="shared" si="28"/>
        <v>0</v>
      </c>
      <c r="K28" s="51">
        <f ca="1" t="shared" si="28"/>
        <v>0</v>
      </c>
      <c r="L28" s="51">
        <f ca="1" t="shared" si="28"/>
        <v>0</v>
      </c>
      <c r="M28" s="51">
        <f ca="1" t="shared" si="28"/>
        <v>1</v>
      </c>
      <c r="N28" s="51">
        <f ca="1" t="shared" si="28"/>
        <v>0</v>
      </c>
      <c r="O28" s="51">
        <f ca="1" t="shared" si="28"/>
        <v>0</v>
      </c>
      <c r="P28" s="51">
        <f ca="1" t="shared" si="28"/>
        <v>0</v>
      </c>
      <c r="Q28" s="51">
        <f ca="1" t="shared" si="28"/>
        <v>0</v>
      </c>
      <c r="R28" s="51">
        <f ca="1" t="shared" si="28"/>
        <v>0</v>
      </c>
      <c r="S28" s="51">
        <f ca="1" t="shared" si="28"/>
        <v>0</v>
      </c>
      <c r="T28" s="51">
        <f ca="1" t="shared" si="28"/>
        <v>1</v>
      </c>
      <c r="U28" s="51">
        <f ca="1" t="shared" si="28"/>
        <v>24</v>
      </c>
      <c r="V28" s="51">
        <f ca="1" t="shared" si="28"/>
        <v>0</v>
      </c>
      <c r="W28" s="51">
        <f ca="1" t="shared" si="1"/>
        <v>200</v>
      </c>
      <c r="X28" s="51">
        <f>IFERROR(_xlfn.XLOOKUP($B28,社保汇总表!B:B,社保汇总表!G:G),0)</f>
        <v>420.68</v>
      </c>
      <c r="Y28" s="51">
        <f>VLOOKUP($B28,公积金汇总表!$P:$Q,2,0)</f>
        <v>126</v>
      </c>
      <c r="Z28" s="51"/>
      <c r="AA28" s="316" t="str">
        <f ca="1" t="shared" si="4"/>
        <v>全勤，年假 8小时(04/22 09:00-04/22 18:30)</v>
      </c>
      <c r="AB28" s="316">
        <f ca="1" t="shared" si="2"/>
        <v>0</v>
      </c>
    </row>
    <row r="29" s="349" customFormat="1" ht="22" customHeight="1" spans="1:28">
      <c r="A29" s="370">
        <v>27</v>
      </c>
      <c r="B29" s="285" t="s">
        <v>87</v>
      </c>
      <c r="C29" s="370">
        <v>4</v>
      </c>
      <c r="D29" s="370" t="s">
        <v>27</v>
      </c>
      <c r="E29" s="370" t="s">
        <v>88</v>
      </c>
      <c r="F29" s="371">
        <v>43577</v>
      </c>
      <c r="G29" s="51">
        <f ca="1" t="shared" ref="G29:V29" si="29">VLOOKUP($B29,INDIRECT($D29&amp;"!$AG$1:$AY$66"),MATCH(G$1,INDIRECT($D29&amp;"!$AG$1:$AY$1"),0),0)</f>
        <v>24</v>
      </c>
      <c r="H29" s="51">
        <f ca="1" t="shared" si="29"/>
        <v>22</v>
      </c>
      <c r="I29" s="51">
        <f ca="1" t="shared" si="29"/>
        <v>0</v>
      </c>
      <c r="J29" s="51">
        <f ca="1" t="shared" si="29"/>
        <v>0</v>
      </c>
      <c r="K29" s="51">
        <f ca="1" t="shared" si="29"/>
        <v>0</v>
      </c>
      <c r="L29" s="51">
        <f ca="1" t="shared" si="29"/>
        <v>0</v>
      </c>
      <c r="M29" s="51">
        <f ca="1" t="shared" si="29"/>
        <v>1</v>
      </c>
      <c r="N29" s="51">
        <f ca="1" t="shared" si="29"/>
        <v>0</v>
      </c>
      <c r="O29" s="51">
        <f ca="1" t="shared" si="29"/>
        <v>0</v>
      </c>
      <c r="P29" s="51">
        <f ca="1" t="shared" si="29"/>
        <v>0</v>
      </c>
      <c r="Q29" s="51">
        <f ca="1" t="shared" si="29"/>
        <v>0</v>
      </c>
      <c r="R29" s="51">
        <f ca="1" t="shared" si="29"/>
        <v>0</v>
      </c>
      <c r="S29" s="51">
        <f ca="1" t="shared" si="29"/>
        <v>0</v>
      </c>
      <c r="T29" s="51">
        <f ca="1" t="shared" si="29"/>
        <v>1</v>
      </c>
      <c r="U29" s="51">
        <f ca="1" t="shared" si="29"/>
        <v>24</v>
      </c>
      <c r="V29" s="51">
        <f ca="1" t="shared" si="29"/>
        <v>0</v>
      </c>
      <c r="W29" s="51">
        <f ca="1" t="shared" si="1"/>
        <v>200</v>
      </c>
      <c r="X29" s="51">
        <f>IFERROR(_xlfn.XLOOKUP($B29,社保汇总表!B:B,社保汇总表!G:G),0)</f>
        <v>420.68</v>
      </c>
      <c r="Y29" s="51">
        <f>VLOOKUP($B29,公积金汇总表!$P:$Q,2,0)</f>
        <v>118</v>
      </c>
      <c r="Z29" s="51"/>
      <c r="AA29" s="316" t="str">
        <f ca="1" t="shared" si="4"/>
        <v>全勤，年假 8小时(04/20 09:00-04/20 18:30)</v>
      </c>
      <c r="AB29" s="316">
        <f ca="1" t="shared" si="2"/>
        <v>26.5</v>
      </c>
    </row>
    <row r="30" s="349" customFormat="1" ht="22" customHeight="1" spans="1:28">
      <c r="A30" s="370">
        <v>28</v>
      </c>
      <c r="B30" s="376" t="s">
        <v>90</v>
      </c>
      <c r="C30" s="370">
        <v>4</v>
      </c>
      <c r="D30" s="370" t="s">
        <v>27</v>
      </c>
      <c r="E30" s="370" t="s">
        <v>88</v>
      </c>
      <c r="F30" s="371">
        <v>45627</v>
      </c>
      <c r="G30" s="51">
        <f ca="1" t="shared" ref="G30:V30" si="30">VLOOKUP($B30,INDIRECT($D30&amp;"!$AG$1:$AY$66"),MATCH(G$1,INDIRECT($D30&amp;"!$AG$1:$AY$1"),0),0)</f>
        <v>24</v>
      </c>
      <c r="H30" s="51">
        <f ca="1" t="shared" si="30"/>
        <v>0</v>
      </c>
      <c r="I30" s="51">
        <f ca="1" t="shared" si="30"/>
        <v>0</v>
      </c>
      <c r="J30" s="51">
        <f ca="1" t="shared" si="30"/>
        <v>0</v>
      </c>
      <c r="K30" s="51">
        <f ca="1" t="shared" si="30"/>
        <v>0</v>
      </c>
      <c r="L30" s="51">
        <f ca="1" t="shared" si="30"/>
        <v>0</v>
      </c>
      <c r="M30" s="51">
        <f ca="1" t="shared" si="30"/>
        <v>0</v>
      </c>
      <c r="N30" s="51">
        <f ca="1" t="shared" si="30"/>
        <v>0</v>
      </c>
      <c r="O30" s="51">
        <f ca="1" t="shared" si="30"/>
        <v>0</v>
      </c>
      <c r="P30" s="51">
        <f ca="1" t="shared" si="30"/>
        <v>0</v>
      </c>
      <c r="Q30" s="51">
        <f ca="1" t="shared" si="30"/>
        <v>24</v>
      </c>
      <c r="R30" s="51">
        <f ca="1" t="shared" si="30"/>
        <v>0</v>
      </c>
      <c r="S30" s="51">
        <f ca="1" t="shared" si="30"/>
        <v>0</v>
      </c>
      <c r="T30" s="51">
        <f ca="1" t="shared" si="30"/>
        <v>0</v>
      </c>
      <c r="U30" s="51">
        <f ca="1" t="shared" si="30"/>
        <v>0</v>
      </c>
      <c r="V30" s="51">
        <f ca="1" t="shared" si="30"/>
        <v>0</v>
      </c>
      <c r="W30" s="51">
        <f ca="1" t="shared" si="1"/>
        <v>0</v>
      </c>
      <c r="X30" s="51">
        <f>IFERROR(_xlfn.XLOOKUP($B30,社保汇总表!B:B,社保汇总表!G:G),0)</f>
        <v>420.68</v>
      </c>
      <c r="Y30" s="51">
        <f>VLOOKUP($B30,公积金汇总表!$P:$Q,2,0)</f>
        <v>118</v>
      </c>
      <c r="Z30" s="51"/>
      <c r="AA30" s="316" t="str">
        <f ca="1" t="shared" si="4"/>
        <v>产假 178天(01/05 上午-07/01 下午)</v>
      </c>
      <c r="AB30" s="316">
        <f ca="1" t="shared" si="2"/>
        <v>0</v>
      </c>
    </row>
    <row r="31" s="349" customFormat="1" ht="22" customHeight="1" spans="1:28">
      <c r="A31" s="370">
        <v>29</v>
      </c>
      <c r="B31" s="285" t="s">
        <v>92</v>
      </c>
      <c r="C31" s="370">
        <v>4</v>
      </c>
      <c r="D31" s="370" t="s">
        <v>27</v>
      </c>
      <c r="E31" s="370" t="s">
        <v>88</v>
      </c>
      <c r="F31" s="371">
        <v>45901</v>
      </c>
      <c r="G31" s="51">
        <f ca="1" t="shared" ref="G31:V31" si="31">VLOOKUP($B31,INDIRECT($D31&amp;"!$AG$1:$AY$66"),MATCH(G$1,INDIRECT($D31&amp;"!$AG$1:$AY$1"),0),0)</f>
        <v>24</v>
      </c>
      <c r="H31" s="51">
        <f ca="1" t="shared" si="31"/>
        <v>23</v>
      </c>
      <c r="I31" s="51">
        <f ca="1" t="shared" si="31"/>
        <v>0</v>
      </c>
      <c r="J31" s="51">
        <f ca="1" t="shared" si="31"/>
        <v>0</v>
      </c>
      <c r="K31" s="51">
        <f ca="1" t="shared" si="31"/>
        <v>0</v>
      </c>
      <c r="L31" s="51">
        <f ca="1" t="shared" si="31"/>
        <v>0</v>
      </c>
      <c r="M31" s="51">
        <f ca="1" t="shared" si="31"/>
        <v>0</v>
      </c>
      <c r="N31" s="51">
        <f ca="1" t="shared" si="31"/>
        <v>0</v>
      </c>
      <c r="O31" s="51">
        <f ca="1" t="shared" si="31"/>
        <v>0</v>
      </c>
      <c r="P31" s="51">
        <f ca="1" t="shared" si="31"/>
        <v>0</v>
      </c>
      <c r="Q31" s="51">
        <f ca="1" t="shared" si="31"/>
        <v>0</v>
      </c>
      <c r="R31" s="51">
        <f ca="1" t="shared" si="31"/>
        <v>0</v>
      </c>
      <c r="S31" s="51">
        <f ca="1" t="shared" si="31"/>
        <v>0</v>
      </c>
      <c r="T31" s="51">
        <f ca="1" t="shared" si="31"/>
        <v>1</v>
      </c>
      <c r="U31" s="51">
        <f ca="1" t="shared" si="31"/>
        <v>24</v>
      </c>
      <c r="V31" s="51">
        <f ca="1" t="shared" si="31"/>
        <v>0</v>
      </c>
      <c r="W31" s="51">
        <f ca="1" t="shared" si="1"/>
        <v>200</v>
      </c>
      <c r="X31" s="51">
        <f>IFERROR(_xlfn.XLOOKUP($B31,社保汇总表!B:B,社保汇总表!G:G),0)</f>
        <v>420.68</v>
      </c>
      <c r="Y31" s="51">
        <f>VLOOKUP($B31,公积金汇总表!$P:$Q,2,0)</f>
        <v>126</v>
      </c>
      <c r="Z31" s="51"/>
      <c r="AA31" s="316" t="str">
        <f ca="1" t="shared" si="4"/>
        <v>全勤</v>
      </c>
      <c r="AB31" s="316">
        <f ca="1" t="shared" si="2"/>
        <v>2.5</v>
      </c>
    </row>
    <row r="32" s="349" customFormat="1" ht="22" customHeight="1" spans="1:28">
      <c r="A32" s="370">
        <v>30</v>
      </c>
      <c r="B32" s="285" t="s">
        <v>94</v>
      </c>
      <c r="C32" s="370">
        <v>4</v>
      </c>
      <c r="D32" s="370" t="s">
        <v>27</v>
      </c>
      <c r="E32" s="370" t="s">
        <v>88</v>
      </c>
      <c r="F32" s="371">
        <v>46071</v>
      </c>
      <c r="G32" s="51">
        <f ca="1" t="shared" ref="G32:V32" si="32">VLOOKUP($B32,INDIRECT($D32&amp;"!$AG$1:$AY$66"),MATCH(G$1,INDIRECT($D32&amp;"!$AG$1:$AY$1"),0),0)</f>
        <v>24</v>
      </c>
      <c r="H32" s="51">
        <f ca="1" t="shared" si="32"/>
        <v>19</v>
      </c>
      <c r="I32" s="51">
        <f ca="1" t="shared" si="32"/>
        <v>10</v>
      </c>
      <c r="J32" s="51">
        <f ca="1" t="shared" si="32"/>
        <v>1</v>
      </c>
      <c r="K32" s="51">
        <f ca="1" t="shared" si="32"/>
        <v>0</v>
      </c>
      <c r="L32" s="51">
        <f ca="1" t="shared" si="32"/>
        <v>0</v>
      </c>
      <c r="M32" s="51">
        <f ca="1" t="shared" si="32"/>
        <v>0</v>
      </c>
      <c r="N32" s="51">
        <f ca="1" t="shared" si="32"/>
        <v>4</v>
      </c>
      <c r="O32" s="51">
        <f ca="1" t="shared" si="32"/>
        <v>0</v>
      </c>
      <c r="P32" s="51">
        <f ca="1" t="shared" si="32"/>
        <v>0</v>
      </c>
      <c r="Q32" s="51">
        <f ca="1" t="shared" si="32"/>
        <v>0</v>
      </c>
      <c r="R32" s="51">
        <f ca="1" t="shared" si="32"/>
        <v>0</v>
      </c>
      <c r="S32" s="51">
        <f ca="1" t="shared" si="32"/>
        <v>0</v>
      </c>
      <c r="T32" s="51">
        <f ca="1" t="shared" si="32"/>
        <v>1</v>
      </c>
      <c r="U32" s="51">
        <f ca="1" t="shared" si="32"/>
        <v>20</v>
      </c>
      <c r="V32" s="51">
        <f ca="1" t="shared" si="32"/>
        <v>0</v>
      </c>
      <c r="W32" s="51">
        <f ca="1" t="shared" si="1"/>
        <v>0</v>
      </c>
      <c r="X32" s="51">
        <f>IFERROR(_xlfn.XLOOKUP($B32,社保汇总表!B:B,社保汇总表!G:G),0)</f>
        <v>420.68</v>
      </c>
      <c r="Y32" s="51">
        <f>VLOOKUP($B32,公积金汇总表!$P:$Q,2,0)</f>
        <v>126</v>
      </c>
      <c r="Z32" s="51"/>
      <c r="AA32" s="316" t="str">
        <f ca="1" t="shared" si="4"/>
        <v>病假 32小时(04/01 09:00-04/04 18:30)，缺卡1次，迟到2次共10分钟</v>
      </c>
      <c r="AB32" s="316">
        <f ca="1" t="shared" si="2"/>
        <v>0</v>
      </c>
    </row>
    <row r="33" s="349" customFormat="1" ht="22" customHeight="1" spans="1:28">
      <c r="A33" s="370">
        <v>31</v>
      </c>
      <c r="B33" s="285" t="s">
        <v>96</v>
      </c>
      <c r="C33" s="370">
        <v>4</v>
      </c>
      <c r="D33" s="370" t="s">
        <v>27</v>
      </c>
      <c r="E33" s="370" t="s">
        <v>83</v>
      </c>
      <c r="F33" s="371">
        <v>46121</v>
      </c>
      <c r="G33" s="51">
        <f ca="1" t="shared" ref="G33:V33" si="33">VLOOKUP($B33,INDIRECT($D33&amp;"!$AG$1:$AY$66"),MATCH(G$1,INDIRECT($D33&amp;"!$AG$1:$AY$1"),0),0)</f>
        <v>24</v>
      </c>
      <c r="H33" s="51">
        <f ca="1" t="shared" si="33"/>
        <v>22</v>
      </c>
      <c r="I33" s="51">
        <f ca="1" t="shared" si="33"/>
        <v>4</v>
      </c>
      <c r="J33" s="51">
        <f ca="1" t="shared" si="33"/>
        <v>0</v>
      </c>
      <c r="K33" s="51">
        <f ca="1" t="shared" si="33"/>
        <v>0</v>
      </c>
      <c r="L33" s="51">
        <f ca="1" t="shared" si="33"/>
        <v>0</v>
      </c>
      <c r="M33" s="51">
        <f ca="1" t="shared" si="33"/>
        <v>0</v>
      </c>
      <c r="N33" s="51">
        <f ca="1" t="shared" si="33"/>
        <v>1</v>
      </c>
      <c r="O33" s="51">
        <f ca="1" t="shared" si="33"/>
        <v>0</v>
      </c>
      <c r="P33" s="51">
        <f ca="1" t="shared" si="33"/>
        <v>0</v>
      </c>
      <c r="Q33" s="51">
        <f ca="1" t="shared" si="33"/>
        <v>0</v>
      </c>
      <c r="R33" s="51">
        <f ca="1" t="shared" si="33"/>
        <v>0</v>
      </c>
      <c r="S33" s="51">
        <f ca="1" t="shared" si="33"/>
        <v>0</v>
      </c>
      <c r="T33" s="51">
        <f ca="1" t="shared" si="33"/>
        <v>1</v>
      </c>
      <c r="U33" s="51">
        <f ca="1" t="shared" si="33"/>
        <v>23</v>
      </c>
      <c r="V33" s="51">
        <f ca="1" t="shared" si="33"/>
        <v>0</v>
      </c>
      <c r="W33" s="51">
        <f ca="1" t="shared" si="1"/>
        <v>0</v>
      </c>
      <c r="X33" s="51">
        <f>IFERROR(_xlfn.XLOOKUP($B33,社保汇总表!B:B,社保汇总表!G:G),0)</f>
        <v>420.68</v>
      </c>
      <c r="Y33" s="51">
        <f>VLOOKUP($B33,公积金汇总表!$P:$Q,2,0)</f>
        <v>126</v>
      </c>
      <c r="Z33" s="51"/>
      <c r="AA33" s="316" t="str">
        <f ca="1" t="shared" si="4"/>
        <v>病假 8小时(04/21 09:00-04/21 18:30)，迟到3次共4分钟</v>
      </c>
      <c r="AB33" s="316">
        <f ca="1" t="shared" si="2"/>
        <v>0</v>
      </c>
    </row>
    <row r="34" s="349" customFormat="1" ht="22" customHeight="1" spans="1:28">
      <c r="A34" s="370">
        <v>32</v>
      </c>
      <c r="B34" s="285" t="s">
        <v>98</v>
      </c>
      <c r="C34" s="370">
        <v>4</v>
      </c>
      <c r="D34" s="370" t="s">
        <v>27</v>
      </c>
      <c r="E34" s="370" t="s">
        <v>99</v>
      </c>
      <c r="F34" s="371">
        <v>42705</v>
      </c>
      <c r="G34" s="51">
        <f ca="1" t="shared" ref="G34:V34" si="34">VLOOKUP($B34,INDIRECT($D34&amp;"!$AG$1:$AY$66"),MATCH(G$1,INDIRECT($D34&amp;"!$AG$1:$AY$1"),0),0)</f>
        <v>24</v>
      </c>
      <c r="H34" s="51">
        <f ca="1" t="shared" si="34"/>
        <v>22.44</v>
      </c>
      <c r="I34" s="51">
        <f ca="1" t="shared" si="34"/>
        <v>0</v>
      </c>
      <c r="J34" s="51">
        <f ca="1" t="shared" si="34"/>
        <v>0</v>
      </c>
      <c r="K34" s="51">
        <f ca="1" t="shared" si="34"/>
        <v>0</v>
      </c>
      <c r="L34" s="51">
        <f ca="1" t="shared" si="34"/>
        <v>0</v>
      </c>
      <c r="M34" s="51">
        <f ca="1" t="shared" si="34"/>
        <v>0.56</v>
      </c>
      <c r="N34" s="51">
        <f ca="1" t="shared" si="34"/>
        <v>0</v>
      </c>
      <c r="O34" s="51">
        <f ca="1" t="shared" si="34"/>
        <v>0</v>
      </c>
      <c r="P34" s="51">
        <f ca="1" t="shared" si="34"/>
        <v>0</v>
      </c>
      <c r="Q34" s="51">
        <f ca="1" t="shared" si="34"/>
        <v>0</v>
      </c>
      <c r="R34" s="51">
        <f ca="1" t="shared" si="34"/>
        <v>0</v>
      </c>
      <c r="S34" s="51">
        <f ca="1" t="shared" si="34"/>
        <v>0</v>
      </c>
      <c r="T34" s="51">
        <f ca="1" t="shared" si="34"/>
        <v>1</v>
      </c>
      <c r="U34" s="51">
        <f ca="1" t="shared" si="34"/>
        <v>24</v>
      </c>
      <c r="V34" s="51">
        <f ca="1" t="shared" si="34"/>
        <v>0</v>
      </c>
      <c r="W34" s="51">
        <f ca="1" t="shared" si="1"/>
        <v>200</v>
      </c>
      <c r="X34" s="51">
        <f>IFERROR(_xlfn.XLOOKUP($B34,社保汇总表!B:B,社保汇总表!G:G),0)</f>
        <v>420.68</v>
      </c>
      <c r="Y34" s="51">
        <f>VLOOKUP($B34,公积金汇总表!$P:$Q,2,0)</f>
        <v>118</v>
      </c>
      <c r="Z34" s="51"/>
      <c r="AA34" s="316" t="str">
        <f ca="1" t="shared" si="4"/>
        <v>全勤，年假 4.5小时(04/17 14:00-04/17 18:30)</v>
      </c>
      <c r="AB34" s="316">
        <f ca="1" t="shared" si="2"/>
        <v>0</v>
      </c>
    </row>
    <row r="35" s="349" customFormat="1" ht="22" customHeight="1" spans="1:28">
      <c r="A35" s="370">
        <v>33</v>
      </c>
      <c r="B35" s="285" t="s">
        <v>101</v>
      </c>
      <c r="C35" s="370">
        <v>4</v>
      </c>
      <c r="D35" s="370" t="s">
        <v>27</v>
      </c>
      <c r="E35" s="370" t="s">
        <v>99</v>
      </c>
      <c r="F35" s="371">
        <v>43739</v>
      </c>
      <c r="G35" s="51">
        <f ca="1" t="shared" ref="G35:V35" si="35">VLOOKUP($B35,INDIRECT($D35&amp;"!$AG$1:$AY$66"),MATCH(G$1,INDIRECT($D35&amp;"!$AG$1:$AY$1"),0),0)</f>
        <v>24</v>
      </c>
      <c r="H35" s="51">
        <f ca="1" t="shared" si="35"/>
        <v>22.44</v>
      </c>
      <c r="I35" s="51">
        <f ca="1" t="shared" si="35"/>
        <v>0</v>
      </c>
      <c r="J35" s="51">
        <f ca="1" t="shared" si="35"/>
        <v>0</v>
      </c>
      <c r="K35" s="51">
        <f ca="1" t="shared" si="35"/>
        <v>0</v>
      </c>
      <c r="L35" s="51">
        <f ca="1" t="shared" si="35"/>
        <v>0</v>
      </c>
      <c r="M35" s="51">
        <f ca="1" t="shared" si="35"/>
        <v>0.56</v>
      </c>
      <c r="N35" s="51">
        <f ca="1" t="shared" si="35"/>
        <v>0</v>
      </c>
      <c r="O35" s="51">
        <f ca="1" t="shared" si="35"/>
        <v>0</v>
      </c>
      <c r="P35" s="51">
        <f ca="1" t="shared" si="35"/>
        <v>0</v>
      </c>
      <c r="Q35" s="51">
        <f ca="1" t="shared" si="35"/>
        <v>0</v>
      </c>
      <c r="R35" s="51">
        <f ca="1" t="shared" si="35"/>
        <v>0</v>
      </c>
      <c r="S35" s="51">
        <f ca="1" t="shared" si="35"/>
        <v>0</v>
      </c>
      <c r="T35" s="51">
        <f ca="1" t="shared" si="35"/>
        <v>1</v>
      </c>
      <c r="U35" s="51">
        <f ca="1" t="shared" si="35"/>
        <v>24</v>
      </c>
      <c r="V35" s="51">
        <f ca="1" t="shared" si="35"/>
        <v>0</v>
      </c>
      <c r="W35" s="51">
        <f ca="1" t="shared" si="1"/>
        <v>200</v>
      </c>
      <c r="X35" s="51">
        <f>IFERROR(_xlfn.XLOOKUP($B35,社保汇总表!B:B,社保汇总表!G:G),0)</f>
        <v>521.58</v>
      </c>
      <c r="Y35" s="51">
        <f>VLOOKUP($B35,公积金汇总表!$P:$Q,2,0)</f>
        <v>126</v>
      </c>
      <c r="Z35" s="51"/>
      <c r="AA35" s="316" t="str">
        <f ca="1" t="shared" si="4"/>
        <v>全勤，年假 4.5小时(04/17 14:00-04/17 18:30)</v>
      </c>
      <c r="AB35" s="316">
        <f ca="1" t="shared" si="2"/>
        <v>0.5</v>
      </c>
    </row>
    <row r="36" s="349" customFormat="1" ht="22" customHeight="1" spans="1:28">
      <c r="A36" s="370">
        <v>34</v>
      </c>
      <c r="B36" s="285" t="s">
        <v>103</v>
      </c>
      <c r="C36" s="370">
        <v>4</v>
      </c>
      <c r="D36" s="370" t="s">
        <v>27</v>
      </c>
      <c r="E36" s="370" t="s">
        <v>104</v>
      </c>
      <c r="F36" s="371">
        <v>42624</v>
      </c>
      <c r="G36" s="51">
        <f ca="1" t="shared" ref="G36:V36" si="36">VLOOKUP($B36,INDIRECT($D36&amp;"!$AG$1:$AY$66"),MATCH(G$1,INDIRECT($D36&amp;"!$AG$1:$AY$1"),0),0)</f>
        <v>24</v>
      </c>
      <c r="H36" s="51">
        <f ca="1" t="shared" si="36"/>
        <v>22</v>
      </c>
      <c r="I36" s="51">
        <f ca="1" t="shared" si="36"/>
        <v>0</v>
      </c>
      <c r="J36" s="51">
        <f ca="1" t="shared" si="36"/>
        <v>0</v>
      </c>
      <c r="K36" s="51">
        <f ca="1" t="shared" si="36"/>
        <v>0</v>
      </c>
      <c r="L36" s="51">
        <f ca="1" t="shared" si="36"/>
        <v>0</v>
      </c>
      <c r="M36" s="51">
        <f ca="1" t="shared" si="36"/>
        <v>1</v>
      </c>
      <c r="N36" s="51">
        <f ca="1" t="shared" si="36"/>
        <v>0</v>
      </c>
      <c r="O36" s="51">
        <f ca="1" t="shared" si="36"/>
        <v>0</v>
      </c>
      <c r="P36" s="51">
        <f ca="1" t="shared" si="36"/>
        <v>0</v>
      </c>
      <c r="Q36" s="51">
        <f ca="1" t="shared" si="36"/>
        <v>0</v>
      </c>
      <c r="R36" s="51">
        <f ca="1" t="shared" si="36"/>
        <v>0</v>
      </c>
      <c r="S36" s="51">
        <f ca="1" t="shared" si="36"/>
        <v>0</v>
      </c>
      <c r="T36" s="51">
        <f ca="1" t="shared" si="36"/>
        <v>1</v>
      </c>
      <c r="U36" s="51">
        <f ca="1" t="shared" si="36"/>
        <v>24</v>
      </c>
      <c r="V36" s="51">
        <f ca="1" t="shared" si="36"/>
        <v>0</v>
      </c>
      <c r="W36" s="51">
        <f ca="1" t="shared" si="1"/>
        <v>200</v>
      </c>
      <c r="X36" s="51">
        <f>IFERROR(_xlfn.XLOOKUP($B36,社保汇总表!B:B,社保汇总表!G:G),0)</f>
        <v>422.64</v>
      </c>
      <c r="Y36" s="51">
        <f>VLOOKUP($B36,公积金汇总表!$P:$Q,2,0)</f>
        <v>118</v>
      </c>
      <c r="Z36" s="51"/>
      <c r="AA36" s="316" t="str">
        <f ca="1" t="shared" si="4"/>
        <v>全勤，年假 8小时(04/02 09:00-04/02 18:30);外出 3.5小时(04/17 15:00-04/17 18:30)</v>
      </c>
      <c r="AB36" s="316">
        <f ca="1" t="shared" si="2"/>
        <v>0</v>
      </c>
    </row>
    <row r="37" s="349" customFormat="1" ht="22" customHeight="1" spans="1:28">
      <c r="A37" s="370">
        <v>35</v>
      </c>
      <c r="B37" s="285" t="s">
        <v>106</v>
      </c>
      <c r="C37" s="370">
        <v>4</v>
      </c>
      <c r="D37" s="370" t="s">
        <v>27</v>
      </c>
      <c r="E37" s="370" t="s">
        <v>104</v>
      </c>
      <c r="F37" s="371">
        <v>43106</v>
      </c>
      <c r="G37" s="51">
        <f ca="1" t="shared" ref="G37:V37" si="37">VLOOKUP($B37,INDIRECT($D37&amp;"!$AG$1:$AY$66"),MATCH(G$1,INDIRECT($D37&amp;"!$AG$1:$AY$1"),0),0)</f>
        <v>24</v>
      </c>
      <c r="H37" s="51">
        <f ca="1" t="shared" si="37"/>
        <v>22</v>
      </c>
      <c r="I37" s="51">
        <f ca="1" t="shared" si="37"/>
        <v>0</v>
      </c>
      <c r="J37" s="51">
        <f ca="1" t="shared" si="37"/>
        <v>0</v>
      </c>
      <c r="K37" s="51">
        <f ca="1" t="shared" si="37"/>
        <v>0</v>
      </c>
      <c r="L37" s="51">
        <f ca="1" t="shared" si="37"/>
        <v>0</v>
      </c>
      <c r="M37" s="51">
        <f ca="1" t="shared" si="37"/>
        <v>1</v>
      </c>
      <c r="N37" s="51">
        <f ca="1" t="shared" si="37"/>
        <v>0</v>
      </c>
      <c r="O37" s="51">
        <f ca="1" t="shared" si="37"/>
        <v>0</v>
      </c>
      <c r="P37" s="51">
        <f ca="1" t="shared" si="37"/>
        <v>0</v>
      </c>
      <c r="Q37" s="51">
        <f ca="1" t="shared" si="37"/>
        <v>0</v>
      </c>
      <c r="R37" s="51">
        <f ca="1" t="shared" si="37"/>
        <v>0</v>
      </c>
      <c r="S37" s="51">
        <f ca="1" t="shared" si="37"/>
        <v>0</v>
      </c>
      <c r="T37" s="51">
        <f ca="1" t="shared" si="37"/>
        <v>1</v>
      </c>
      <c r="U37" s="51">
        <f ca="1" t="shared" si="37"/>
        <v>24</v>
      </c>
      <c r="V37" s="51">
        <f ca="1" t="shared" si="37"/>
        <v>0</v>
      </c>
      <c r="W37" s="51">
        <f ca="1" t="shared" si="1"/>
        <v>200</v>
      </c>
      <c r="X37" s="51">
        <f>IFERROR(_xlfn.XLOOKUP($B37,社保汇总表!B:B,社保汇总表!G:G),0)</f>
        <v>420.68</v>
      </c>
      <c r="Y37" s="51">
        <f>VLOOKUP($B37,公积金汇总表!$P:$Q,2,0)</f>
        <v>118</v>
      </c>
      <c r="Z37" s="51"/>
      <c r="AA37" s="316" t="str">
        <f ca="1" t="shared" si="4"/>
        <v>全勤，年假 8小时(04/10 09:00-04/10 18:30)</v>
      </c>
      <c r="AB37" s="316">
        <f ca="1" t="shared" si="2"/>
        <v>0</v>
      </c>
    </row>
    <row r="38" s="349" customFormat="1" ht="22" customHeight="1" spans="1:28">
      <c r="A38" s="370">
        <v>36</v>
      </c>
      <c r="B38" s="285" t="s">
        <v>108</v>
      </c>
      <c r="C38" s="370">
        <v>4</v>
      </c>
      <c r="D38" s="370" t="s">
        <v>27</v>
      </c>
      <c r="E38" s="370" t="s">
        <v>104</v>
      </c>
      <c r="F38" s="371">
        <v>45502</v>
      </c>
      <c r="G38" s="51">
        <f ca="1" t="shared" ref="G38:V38" si="38">VLOOKUP($B38,INDIRECT($D38&amp;"!$AG$1:$AY$66"),MATCH(G$1,INDIRECT($D38&amp;"!$AG$1:$AY$1"),0),0)</f>
        <v>24</v>
      </c>
      <c r="H38" s="51">
        <f ca="1" t="shared" si="38"/>
        <v>21.44</v>
      </c>
      <c r="I38" s="51">
        <f ca="1" t="shared" si="38"/>
        <v>0</v>
      </c>
      <c r="J38" s="51">
        <f ca="1" t="shared" si="38"/>
        <v>0</v>
      </c>
      <c r="K38" s="51">
        <f ca="1" t="shared" si="38"/>
        <v>0</v>
      </c>
      <c r="L38" s="51">
        <f ca="1" t="shared" si="38"/>
        <v>1.56</v>
      </c>
      <c r="M38" s="51">
        <f ca="1" t="shared" si="38"/>
        <v>0</v>
      </c>
      <c r="N38" s="51">
        <f ca="1" t="shared" si="38"/>
        <v>0</v>
      </c>
      <c r="O38" s="51">
        <f ca="1" t="shared" si="38"/>
        <v>0</v>
      </c>
      <c r="P38" s="51">
        <f ca="1" t="shared" si="38"/>
        <v>0</v>
      </c>
      <c r="Q38" s="51">
        <f ca="1" t="shared" si="38"/>
        <v>0</v>
      </c>
      <c r="R38" s="51">
        <f ca="1" t="shared" si="38"/>
        <v>0</v>
      </c>
      <c r="S38" s="51">
        <f ca="1" t="shared" si="38"/>
        <v>0</v>
      </c>
      <c r="T38" s="51">
        <f ca="1" t="shared" si="38"/>
        <v>1</v>
      </c>
      <c r="U38" s="51">
        <f ca="1" t="shared" si="38"/>
        <v>22.44</v>
      </c>
      <c r="V38" s="51">
        <f ca="1" t="shared" si="38"/>
        <v>0</v>
      </c>
      <c r="W38" s="51">
        <f ca="1" t="shared" si="1"/>
        <v>0</v>
      </c>
      <c r="X38" s="51">
        <f>IFERROR(_xlfn.XLOOKUP($B38,社保汇总表!B:B,社保汇总表!G:G),0)</f>
        <v>420.68</v>
      </c>
      <c r="Y38" s="51">
        <f>VLOOKUP($B38,公积金汇总表!$P:$Q,2,0)</f>
        <v>126</v>
      </c>
      <c r="Z38" s="51"/>
      <c r="AA38" s="316" t="str">
        <f ca="1" t="shared" si="4"/>
        <v>事假 12.5小时(04/29 14:00-04/30 18:30)</v>
      </c>
      <c r="AB38" s="316">
        <f ca="1" t="shared" si="2"/>
        <v>0</v>
      </c>
    </row>
    <row r="39" s="349" customFormat="1" ht="22" customHeight="1" spans="1:28">
      <c r="A39" s="370">
        <v>37</v>
      </c>
      <c r="B39" s="285" t="s">
        <v>110</v>
      </c>
      <c r="C39" s="370">
        <v>4</v>
      </c>
      <c r="D39" s="370" t="s">
        <v>27</v>
      </c>
      <c r="E39" s="370" t="s">
        <v>104</v>
      </c>
      <c r="F39" s="371">
        <v>45931</v>
      </c>
      <c r="G39" s="51">
        <f ca="1" t="shared" ref="G39:V39" si="39">VLOOKUP($B39,INDIRECT($D39&amp;"!$AG$1:$AY$66"),MATCH(G$1,INDIRECT($D39&amp;"!$AG$1:$AY$1"),0),0)</f>
        <v>24</v>
      </c>
      <c r="H39" s="51">
        <f ca="1" t="shared" si="39"/>
        <v>21</v>
      </c>
      <c r="I39" s="51">
        <f ca="1" t="shared" si="39"/>
        <v>0</v>
      </c>
      <c r="J39" s="51">
        <f ca="1" t="shared" si="39"/>
        <v>0</v>
      </c>
      <c r="K39" s="51">
        <f ca="1" t="shared" si="39"/>
        <v>0</v>
      </c>
      <c r="L39" s="51">
        <f ca="1" t="shared" si="39"/>
        <v>2</v>
      </c>
      <c r="M39" s="51">
        <f ca="1" t="shared" si="39"/>
        <v>0</v>
      </c>
      <c r="N39" s="51">
        <f ca="1" t="shared" si="39"/>
        <v>0</v>
      </c>
      <c r="O39" s="51">
        <f ca="1" t="shared" si="39"/>
        <v>0</v>
      </c>
      <c r="P39" s="51">
        <f ca="1" t="shared" si="39"/>
        <v>0</v>
      </c>
      <c r="Q39" s="51">
        <f ca="1" t="shared" si="39"/>
        <v>0</v>
      </c>
      <c r="R39" s="51">
        <f ca="1" t="shared" si="39"/>
        <v>0</v>
      </c>
      <c r="S39" s="51">
        <f ca="1" t="shared" si="39"/>
        <v>0</v>
      </c>
      <c r="T39" s="51">
        <f ca="1" t="shared" si="39"/>
        <v>1</v>
      </c>
      <c r="U39" s="51">
        <f ca="1" t="shared" si="39"/>
        <v>22</v>
      </c>
      <c r="V39" s="51">
        <f ca="1" t="shared" si="39"/>
        <v>0</v>
      </c>
      <c r="W39" s="51">
        <f ca="1" t="shared" si="1"/>
        <v>0</v>
      </c>
      <c r="X39" s="51">
        <f>IFERROR(_xlfn.XLOOKUP($B39,社保汇总表!B:B,社保汇总表!G:G),0)</f>
        <v>420.68</v>
      </c>
      <c r="Y39" s="51">
        <f>VLOOKUP($B39,公积金汇总表!$P:$Q,2,0)</f>
        <v>126</v>
      </c>
      <c r="Z39" s="51"/>
      <c r="AA39" s="316" t="str">
        <f ca="1" t="shared" si="4"/>
        <v>事假 8小时(04/04 09:00-04/04 18:30);事假 8小时(04/24 09:00-04/24 18:30)</v>
      </c>
      <c r="AB39" s="316">
        <f ca="1" t="shared" si="2"/>
        <v>0</v>
      </c>
    </row>
    <row r="40" s="349" customFormat="1" ht="22" customHeight="1" spans="1:28">
      <c r="A40" s="370">
        <v>38</v>
      </c>
      <c r="B40" s="285" t="s">
        <v>112</v>
      </c>
      <c r="C40" s="370">
        <v>4</v>
      </c>
      <c r="D40" s="370" t="s">
        <v>27</v>
      </c>
      <c r="E40" s="370" t="s">
        <v>113</v>
      </c>
      <c r="F40" s="371">
        <v>46023</v>
      </c>
      <c r="G40" s="51">
        <f ca="1" t="shared" ref="G40:V40" si="40">VLOOKUP($B40,INDIRECT($D40&amp;"!$AG$1:$AY$66"),MATCH(G$1,INDIRECT($D40&amp;"!$AG$1:$AY$1"),0),0)</f>
        <v>24</v>
      </c>
      <c r="H40" s="51">
        <f ca="1" t="shared" si="40"/>
        <v>23</v>
      </c>
      <c r="I40" s="51">
        <f ca="1" t="shared" si="40"/>
        <v>0</v>
      </c>
      <c r="J40" s="51">
        <f ca="1" t="shared" si="40"/>
        <v>0</v>
      </c>
      <c r="K40" s="51">
        <f ca="1" t="shared" si="40"/>
        <v>0</v>
      </c>
      <c r="L40" s="51">
        <f ca="1" t="shared" si="40"/>
        <v>0</v>
      </c>
      <c r="M40" s="51">
        <f ca="1" t="shared" si="40"/>
        <v>0</v>
      </c>
      <c r="N40" s="51">
        <f ca="1" t="shared" si="40"/>
        <v>0</v>
      </c>
      <c r="O40" s="51">
        <f ca="1" t="shared" si="40"/>
        <v>0</v>
      </c>
      <c r="P40" s="51">
        <f ca="1" t="shared" si="40"/>
        <v>0</v>
      </c>
      <c r="Q40" s="51">
        <f ca="1" t="shared" si="40"/>
        <v>0</v>
      </c>
      <c r="R40" s="51">
        <f ca="1" t="shared" si="40"/>
        <v>0</v>
      </c>
      <c r="S40" s="51">
        <f ca="1" t="shared" si="40"/>
        <v>0</v>
      </c>
      <c r="T40" s="51">
        <f ca="1" t="shared" si="40"/>
        <v>1</v>
      </c>
      <c r="U40" s="51">
        <f ca="1" t="shared" si="40"/>
        <v>24</v>
      </c>
      <c r="V40" s="51">
        <f ca="1" t="shared" si="40"/>
        <v>0</v>
      </c>
      <c r="W40" s="51">
        <f ca="1" t="shared" si="1"/>
        <v>200</v>
      </c>
      <c r="X40" s="51">
        <f>IFERROR(_xlfn.XLOOKUP($B40,社保汇总表!B:B,社保汇总表!G:G),0)</f>
        <v>420.68</v>
      </c>
      <c r="Y40" s="51">
        <f>VLOOKUP($B40,公积金汇总表!$P:$Q,2,0)</f>
        <v>126</v>
      </c>
      <c r="Z40" s="51"/>
      <c r="AA40" s="316" t="str">
        <f ca="1" t="shared" si="4"/>
        <v>全勤</v>
      </c>
      <c r="AB40" s="316">
        <f ca="1" t="shared" si="2"/>
        <v>21</v>
      </c>
    </row>
    <row r="41" s="349" customFormat="1" ht="22" customHeight="1" spans="1:28">
      <c r="A41" s="370">
        <v>39</v>
      </c>
      <c r="B41" s="285" t="s">
        <v>115</v>
      </c>
      <c r="C41" s="370">
        <v>4</v>
      </c>
      <c r="D41" s="370" t="s">
        <v>27</v>
      </c>
      <c r="E41" s="370" t="s">
        <v>116</v>
      </c>
      <c r="F41" s="371">
        <v>42065</v>
      </c>
      <c r="G41" s="51">
        <f ca="1" t="shared" ref="G41:V41" si="41">VLOOKUP($B41,INDIRECT($D41&amp;"!$AG$1:$AY$66"),MATCH(G$1,INDIRECT($D41&amp;"!$AG$1:$AY$1"),0),0)</f>
        <v>24</v>
      </c>
      <c r="H41" s="51">
        <f ca="1" t="shared" si="41"/>
        <v>20</v>
      </c>
      <c r="I41" s="51">
        <f ca="1" t="shared" si="41"/>
        <v>0</v>
      </c>
      <c r="J41" s="51">
        <f ca="1" t="shared" si="41"/>
        <v>0</v>
      </c>
      <c r="K41" s="51">
        <f ca="1" t="shared" si="41"/>
        <v>0</v>
      </c>
      <c r="L41" s="51">
        <f ca="1" t="shared" si="41"/>
        <v>0</v>
      </c>
      <c r="M41" s="51">
        <f ca="1" t="shared" si="41"/>
        <v>3</v>
      </c>
      <c r="N41" s="51">
        <f ca="1" t="shared" si="41"/>
        <v>0</v>
      </c>
      <c r="O41" s="51">
        <f ca="1" t="shared" si="41"/>
        <v>0</v>
      </c>
      <c r="P41" s="51">
        <f ca="1" t="shared" si="41"/>
        <v>0</v>
      </c>
      <c r="Q41" s="51">
        <f ca="1" t="shared" si="41"/>
        <v>0</v>
      </c>
      <c r="R41" s="51">
        <f ca="1" t="shared" si="41"/>
        <v>0</v>
      </c>
      <c r="S41" s="51">
        <f ca="1" t="shared" si="41"/>
        <v>0</v>
      </c>
      <c r="T41" s="51">
        <f ca="1" t="shared" si="41"/>
        <v>1</v>
      </c>
      <c r="U41" s="51">
        <f ca="1" t="shared" si="41"/>
        <v>24</v>
      </c>
      <c r="V41" s="51">
        <f ca="1" t="shared" si="41"/>
        <v>0</v>
      </c>
      <c r="W41" s="51">
        <f ca="1" t="shared" si="1"/>
        <v>200</v>
      </c>
      <c r="X41" s="51">
        <f>IFERROR(_xlfn.XLOOKUP($B41,社保汇总表!B:B,社保汇总表!G:G),0)</f>
        <v>521.58</v>
      </c>
      <c r="Y41" s="51">
        <f>VLOOKUP($B41,公积金汇总表!$P:$Q,2,0)</f>
        <v>1000</v>
      </c>
      <c r="Z41" s="51"/>
      <c r="AA41" s="316" t="str">
        <f ca="1" t="shared" si="4"/>
        <v>全勤，外出 4.5小时(04/02 14:00-04/02 18:30);年假 12.5小时(04/27 14:00-04/28 18:30);年假 11.5小时(04/29 09:00-04/30 12:30)</v>
      </c>
      <c r="AB41" s="316">
        <f ca="1" t="shared" si="2"/>
        <v>9</v>
      </c>
    </row>
    <row r="42" s="349" customFormat="1" ht="22" customHeight="1" spans="1:28">
      <c r="A42" s="370">
        <v>40</v>
      </c>
      <c r="B42" s="285" t="s">
        <v>118</v>
      </c>
      <c r="C42" s="370">
        <v>4</v>
      </c>
      <c r="D42" s="370" t="s">
        <v>27</v>
      </c>
      <c r="E42" s="370" t="s">
        <v>119</v>
      </c>
      <c r="F42" s="371">
        <v>45505</v>
      </c>
      <c r="G42" s="51">
        <f ca="1" t="shared" ref="G42:V42" si="42">VLOOKUP($B42,INDIRECT($D42&amp;"!$AG$1:$AY$66"),MATCH(G$1,INDIRECT($D42&amp;"!$AG$1:$AY$1"),0),0)</f>
        <v>24</v>
      </c>
      <c r="H42" s="51">
        <f ca="1" t="shared" si="42"/>
        <v>23</v>
      </c>
      <c r="I42" s="51">
        <f ca="1" t="shared" si="42"/>
        <v>0</v>
      </c>
      <c r="J42" s="51">
        <f ca="1" t="shared" si="42"/>
        <v>0</v>
      </c>
      <c r="K42" s="51">
        <f ca="1" t="shared" si="42"/>
        <v>0</v>
      </c>
      <c r="L42" s="51">
        <f ca="1" t="shared" si="42"/>
        <v>0</v>
      </c>
      <c r="M42" s="51">
        <f ca="1" t="shared" si="42"/>
        <v>0</v>
      </c>
      <c r="N42" s="51">
        <f ca="1" t="shared" si="42"/>
        <v>0</v>
      </c>
      <c r="O42" s="51">
        <f ca="1" t="shared" si="42"/>
        <v>0</v>
      </c>
      <c r="P42" s="51">
        <f ca="1" t="shared" si="42"/>
        <v>0</v>
      </c>
      <c r="Q42" s="51">
        <f ca="1" t="shared" si="42"/>
        <v>0</v>
      </c>
      <c r="R42" s="51">
        <f ca="1" t="shared" si="42"/>
        <v>0</v>
      </c>
      <c r="S42" s="51">
        <f ca="1" t="shared" si="42"/>
        <v>0</v>
      </c>
      <c r="T42" s="51">
        <f ca="1" t="shared" si="42"/>
        <v>1</v>
      </c>
      <c r="U42" s="51">
        <f ca="1" t="shared" si="42"/>
        <v>24</v>
      </c>
      <c r="V42" s="51">
        <f ca="1" t="shared" si="42"/>
        <v>0</v>
      </c>
      <c r="W42" s="51">
        <f ca="1" t="shared" si="1"/>
        <v>200</v>
      </c>
      <c r="X42" s="51">
        <f>IFERROR(_xlfn.XLOOKUP($B42,社保汇总表!B:B,社保汇总表!G:G),0)</f>
        <v>521.58</v>
      </c>
      <c r="Y42" s="51">
        <f>VLOOKUP($B42,公积金汇总表!$P:$Q,2,0)</f>
        <v>118</v>
      </c>
      <c r="Z42" s="51"/>
      <c r="AA42" s="316" t="str">
        <f ca="1" t="shared" si="4"/>
        <v>全勤</v>
      </c>
      <c r="AB42" s="316">
        <f ca="1" t="shared" si="2"/>
        <v>20</v>
      </c>
    </row>
    <row r="43" s="349" customFormat="1" ht="22" customHeight="1" spans="1:28">
      <c r="A43" s="370">
        <v>41</v>
      </c>
      <c r="B43" s="285" t="s">
        <v>121</v>
      </c>
      <c r="C43" s="370">
        <v>4</v>
      </c>
      <c r="D43" s="370" t="s">
        <v>27</v>
      </c>
      <c r="E43" s="370" t="s">
        <v>119</v>
      </c>
      <c r="F43" s="371">
        <v>45475</v>
      </c>
      <c r="G43" s="51">
        <f ca="1" t="shared" ref="G43:V43" si="43">VLOOKUP($B43,INDIRECT($D43&amp;"!$AG$1:$AY$66"),MATCH(G$1,INDIRECT($D43&amp;"!$AG$1:$AY$1"),0),0)</f>
        <v>24</v>
      </c>
      <c r="H43" s="51">
        <f ca="1" t="shared" si="43"/>
        <v>21.44</v>
      </c>
      <c r="I43" s="51">
        <f ca="1" t="shared" si="43"/>
        <v>6</v>
      </c>
      <c r="J43" s="51">
        <f ca="1" t="shared" si="43"/>
        <v>0</v>
      </c>
      <c r="K43" s="51">
        <f ca="1" t="shared" si="43"/>
        <v>0</v>
      </c>
      <c r="L43" s="51">
        <f ca="1" t="shared" si="43"/>
        <v>1</v>
      </c>
      <c r="M43" s="51">
        <f ca="1" t="shared" si="43"/>
        <v>0.56</v>
      </c>
      <c r="N43" s="51">
        <f ca="1" t="shared" si="43"/>
        <v>0</v>
      </c>
      <c r="O43" s="51">
        <f ca="1" t="shared" si="43"/>
        <v>0</v>
      </c>
      <c r="P43" s="51">
        <f ca="1" t="shared" si="43"/>
        <v>0</v>
      </c>
      <c r="Q43" s="51">
        <f ca="1" t="shared" si="43"/>
        <v>0</v>
      </c>
      <c r="R43" s="51">
        <f ca="1" t="shared" si="43"/>
        <v>0</v>
      </c>
      <c r="S43" s="51">
        <f ca="1" t="shared" si="43"/>
        <v>0</v>
      </c>
      <c r="T43" s="51">
        <f ca="1" t="shared" si="43"/>
        <v>1</v>
      </c>
      <c r="U43" s="51">
        <f ca="1" t="shared" si="43"/>
        <v>23</v>
      </c>
      <c r="V43" s="51">
        <f ca="1" t="shared" si="43"/>
        <v>0</v>
      </c>
      <c r="W43" s="51">
        <f ca="1" t="shared" si="1"/>
        <v>0</v>
      </c>
      <c r="X43" s="51">
        <f>IFERROR(_xlfn.XLOOKUP($B43,社保汇总表!B:B,社保汇总表!G:G),0)</f>
        <v>420.68</v>
      </c>
      <c r="Y43" s="51">
        <f>VLOOKUP($B43,公积金汇总表!$P:$Q,2,0)</f>
        <v>118</v>
      </c>
      <c r="Z43" s="51"/>
      <c r="AA43" s="316" t="str">
        <f ca="1" t="shared" si="4"/>
        <v>事假 8小时(04/07 09:00-04/07 18:30);年假 4.5小时(04/20 14:00-04/20 18:30)，迟到6分钟</v>
      </c>
      <c r="AB43" s="316">
        <f ca="1" t="shared" si="2"/>
        <v>20</v>
      </c>
    </row>
    <row r="44" s="349" customFormat="1" ht="22" customHeight="1" spans="1:28">
      <c r="A44" s="370">
        <v>42</v>
      </c>
      <c r="B44" s="285" t="s">
        <v>123</v>
      </c>
      <c r="C44" s="370">
        <v>4</v>
      </c>
      <c r="D44" s="370" t="s">
        <v>27</v>
      </c>
      <c r="E44" s="370" t="s">
        <v>119</v>
      </c>
      <c r="F44" s="371">
        <v>43863</v>
      </c>
      <c r="G44" s="51">
        <f ca="1" t="shared" ref="G44:V44" si="44">VLOOKUP($B44,INDIRECT($D44&amp;"!$AG$1:$AY$66"),MATCH(G$1,INDIRECT($D44&amp;"!$AG$1:$AY$1"),0),0)</f>
        <v>24</v>
      </c>
      <c r="H44" s="51">
        <f ca="1" t="shared" si="44"/>
        <v>23</v>
      </c>
      <c r="I44" s="51">
        <f ca="1" t="shared" si="44"/>
        <v>0</v>
      </c>
      <c r="J44" s="51">
        <f ca="1" t="shared" si="44"/>
        <v>0</v>
      </c>
      <c r="K44" s="51">
        <f ca="1" t="shared" si="44"/>
        <v>0</v>
      </c>
      <c r="L44" s="51">
        <f ca="1" t="shared" si="44"/>
        <v>0</v>
      </c>
      <c r="M44" s="51">
        <f ca="1" t="shared" si="44"/>
        <v>0</v>
      </c>
      <c r="N44" s="51">
        <f ca="1" t="shared" si="44"/>
        <v>0</v>
      </c>
      <c r="O44" s="51">
        <f ca="1" t="shared" si="44"/>
        <v>0</v>
      </c>
      <c r="P44" s="51">
        <f ca="1" t="shared" si="44"/>
        <v>0</v>
      </c>
      <c r="Q44" s="51">
        <f ca="1" t="shared" si="44"/>
        <v>0</v>
      </c>
      <c r="R44" s="51">
        <f ca="1" t="shared" si="44"/>
        <v>0</v>
      </c>
      <c r="S44" s="51">
        <f ca="1" t="shared" si="44"/>
        <v>0</v>
      </c>
      <c r="T44" s="51">
        <f ca="1" t="shared" si="44"/>
        <v>1</v>
      </c>
      <c r="U44" s="51">
        <f ca="1" t="shared" si="44"/>
        <v>24</v>
      </c>
      <c r="V44" s="51">
        <f ca="1" t="shared" si="44"/>
        <v>0</v>
      </c>
      <c r="W44" s="51">
        <f ca="1" t="shared" si="1"/>
        <v>200</v>
      </c>
      <c r="X44" s="51">
        <f>IFERROR(_xlfn.XLOOKUP($B44,社保汇总表!B:B,社保汇总表!G:G),0)</f>
        <v>420.68</v>
      </c>
      <c r="Y44" s="51">
        <f>VLOOKUP($B44,公积金汇总表!$P:$Q,2,0)</f>
        <v>126</v>
      </c>
      <c r="Z44" s="51"/>
      <c r="AA44" s="316" t="str">
        <f ca="1" t="shared" si="4"/>
        <v>全勤</v>
      </c>
      <c r="AB44" s="316">
        <f ca="1" t="shared" si="2"/>
        <v>21</v>
      </c>
    </row>
    <row r="45" s="349" customFormat="1" ht="22" customHeight="1" spans="1:28">
      <c r="A45" s="370">
        <v>43</v>
      </c>
      <c r="B45" s="285" t="s">
        <v>125</v>
      </c>
      <c r="C45" s="370">
        <v>4</v>
      </c>
      <c r="D45" s="370" t="s">
        <v>27</v>
      </c>
      <c r="E45" s="370" t="s">
        <v>119</v>
      </c>
      <c r="F45" s="371">
        <v>45559</v>
      </c>
      <c r="G45" s="51">
        <f ca="1" t="shared" ref="G45:V45" si="45">VLOOKUP($B45,INDIRECT($D45&amp;"!$AG$1:$AY$66"),MATCH(G$1,INDIRECT($D45&amp;"!$AG$1:$AY$1"),0),0)</f>
        <v>24</v>
      </c>
      <c r="H45" s="51">
        <f ca="1" t="shared" si="45"/>
        <v>22.56</v>
      </c>
      <c r="I45" s="51">
        <f ca="1" t="shared" si="45"/>
        <v>5</v>
      </c>
      <c r="J45" s="51">
        <f ca="1" t="shared" si="45"/>
        <v>0</v>
      </c>
      <c r="K45" s="51">
        <f ca="1" t="shared" si="45"/>
        <v>0</v>
      </c>
      <c r="L45" s="51">
        <f ca="1" t="shared" si="45"/>
        <v>0.44</v>
      </c>
      <c r="M45" s="51">
        <f ca="1" t="shared" si="45"/>
        <v>0</v>
      </c>
      <c r="N45" s="51">
        <f ca="1" t="shared" si="45"/>
        <v>0</v>
      </c>
      <c r="O45" s="51">
        <f ca="1" t="shared" si="45"/>
        <v>0</v>
      </c>
      <c r="P45" s="51">
        <f ca="1" t="shared" si="45"/>
        <v>0</v>
      </c>
      <c r="Q45" s="51">
        <f ca="1" t="shared" si="45"/>
        <v>0</v>
      </c>
      <c r="R45" s="51">
        <f ca="1" t="shared" si="45"/>
        <v>0</v>
      </c>
      <c r="S45" s="51">
        <f ca="1" t="shared" si="45"/>
        <v>0</v>
      </c>
      <c r="T45" s="51">
        <f ca="1" t="shared" si="45"/>
        <v>1</v>
      </c>
      <c r="U45" s="51">
        <f ca="1" t="shared" si="45"/>
        <v>23.56</v>
      </c>
      <c r="V45" s="51">
        <f ca="1" t="shared" si="45"/>
        <v>0</v>
      </c>
      <c r="W45" s="51">
        <f ca="1" t="shared" si="1"/>
        <v>0</v>
      </c>
      <c r="X45" s="51">
        <f>IFERROR(_xlfn.XLOOKUP($B45,社保汇总表!B:B,社保汇总表!G:G),0)</f>
        <v>420.68</v>
      </c>
      <c r="Y45" s="51">
        <f>VLOOKUP($B45,公积金汇总表!$P:$Q,2,0)</f>
        <v>118</v>
      </c>
      <c r="Z45" s="51"/>
      <c r="AA45" s="316" t="str">
        <f ca="1" t="shared" si="4"/>
        <v>30日事假(09:00-12:30)，迟到4次共5分钟</v>
      </c>
      <c r="AB45" s="316">
        <f ca="1" t="shared" si="2"/>
        <v>21</v>
      </c>
    </row>
    <row r="46" s="349" customFormat="1" ht="22" customHeight="1" spans="1:28">
      <c r="A46" s="370">
        <v>44</v>
      </c>
      <c r="B46" s="285" t="s">
        <v>127</v>
      </c>
      <c r="C46" s="370">
        <v>4</v>
      </c>
      <c r="D46" s="370" t="s">
        <v>27</v>
      </c>
      <c r="E46" s="370" t="s">
        <v>116</v>
      </c>
      <c r="F46" s="371">
        <v>42345</v>
      </c>
      <c r="G46" s="51">
        <f ca="1" t="shared" ref="G46:V46" si="46">VLOOKUP($B46,INDIRECT($D46&amp;"!$AG$1:$AY$66"),MATCH(G$1,INDIRECT($D46&amp;"!$AG$1:$AY$1"),0),0)</f>
        <v>24</v>
      </c>
      <c r="H46" s="51">
        <f ca="1" t="shared" si="46"/>
        <v>22</v>
      </c>
      <c r="I46" s="51">
        <f ca="1" t="shared" si="46"/>
        <v>0</v>
      </c>
      <c r="J46" s="51">
        <f ca="1" t="shared" si="46"/>
        <v>0</v>
      </c>
      <c r="K46" s="51">
        <f ca="1" t="shared" si="46"/>
        <v>0</v>
      </c>
      <c r="L46" s="51">
        <f ca="1" t="shared" si="46"/>
        <v>0</v>
      </c>
      <c r="M46" s="51">
        <f ca="1" t="shared" si="46"/>
        <v>1</v>
      </c>
      <c r="N46" s="51">
        <f ca="1" t="shared" si="46"/>
        <v>0</v>
      </c>
      <c r="O46" s="51">
        <f ca="1" t="shared" si="46"/>
        <v>0</v>
      </c>
      <c r="P46" s="51">
        <f ca="1" t="shared" si="46"/>
        <v>0</v>
      </c>
      <c r="Q46" s="51">
        <f ca="1" t="shared" si="46"/>
        <v>0</v>
      </c>
      <c r="R46" s="51">
        <f ca="1" t="shared" si="46"/>
        <v>0</v>
      </c>
      <c r="S46" s="51">
        <f ca="1" t="shared" si="46"/>
        <v>0</v>
      </c>
      <c r="T46" s="51">
        <f ca="1" t="shared" si="46"/>
        <v>1</v>
      </c>
      <c r="U46" s="51">
        <f ca="1" t="shared" si="46"/>
        <v>24</v>
      </c>
      <c r="V46" s="51">
        <f ca="1" t="shared" si="46"/>
        <v>0</v>
      </c>
      <c r="W46" s="51">
        <f ca="1" t="shared" si="1"/>
        <v>200</v>
      </c>
      <c r="X46" s="51">
        <f>IFERROR(_xlfn.XLOOKUP($B46,社保汇总表!B:B,社保汇总表!G:G),0)</f>
        <v>420.68</v>
      </c>
      <c r="Y46" s="51">
        <f>VLOOKUP($B46,公积金汇总表!$P:$Q,2,0)</f>
        <v>118</v>
      </c>
      <c r="Z46" s="51"/>
      <c r="AA46" s="316" t="str">
        <f ca="1" t="shared" si="4"/>
        <v>全勤，外出 4.5小时(04/02 14:00-04/02 18:30);外出 4.5小时(04/08 14:00-04/08 18:30);年假 8小时(04/18 09:00-04/18 18:30)</v>
      </c>
      <c r="AB46" s="316">
        <f ca="1" t="shared" si="2"/>
        <v>2.5</v>
      </c>
    </row>
    <row r="47" s="349" customFormat="1" ht="22" customHeight="1" spans="1:28">
      <c r="A47" s="370">
        <v>45</v>
      </c>
      <c r="B47" s="285" t="s">
        <v>129</v>
      </c>
      <c r="C47" s="370">
        <v>4</v>
      </c>
      <c r="D47" s="370" t="s">
        <v>27</v>
      </c>
      <c r="E47" s="370" t="s">
        <v>130</v>
      </c>
      <c r="F47" s="371">
        <v>43259</v>
      </c>
      <c r="G47" s="51">
        <f ca="1" t="shared" ref="G47:V47" si="47">VLOOKUP($B47,INDIRECT($D47&amp;"!$AG$1:$AY$66"),MATCH(G$1,INDIRECT($D47&amp;"!$AG$1:$AY$1"),0),0)</f>
        <v>24</v>
      </c>
      <c r="H47" s="51">
        <f ca="1" t="shared" si="47"/>
        <v>22</v>
      </c>
      <c r="I47" s="51">
        <f ca="1" t="shared" si="47"/>
        <v>0</v>
      </c>
      <c r="J47" s="51">
        <f ca="1" t="shared" si="47"/>
        <v>1</v>
      </c>
      <c r="K47" s="51">
        <f ca="1" t="shared" si="47"/>
        <v>0</v>
      </c>
      <c r="L47" s="51">
        <f ca="1" t="shared" si="47"/>
        <v>1</v>
      </c>
      <c r="M47" s="51">
        <f ca="1" t="shared" si="47"/>
        <v>0</v>
      </c>
      <c r="N47" s="51">
        <f ca="1" t="shared" si="47"/>
        <v>0</v>
      </c>
      <c r="O47" s="51">
        <f ca="1" t="shared" si="47"/>
        <v>0</v>
      </c>
      <c r="P47" s="51">
        <f ca="1" t="shared" si="47"/>
        <v>0</v>
      </c>
      <c r="Q47" s="51">
        <f ca="1" t="shared" si="47"/>
        <v>0</v>
      </c>
      <c r="R47" s="51">
        <f ca="1" t="shared" si="47"/>
        <v>0</v>
      </c>
      <c r="S47" s="51">
        <f ca="1" t="shared" si="47"/>
        <v>0</v>
      </c>
      <c r="T47" s="51">
        <f ca="1" t="shared" si="47"/>
        <v>1</v>
      </c>
      <c r="U47" s="51">
        <f ca="1" t="shared" si="47"/>
        <v>23</v>
      </c>
      <c r="V47" s="51">
        <f ca="1" t="shared" si="47"/>
        <v>0</v>
      </c>
      <c r="W47" s="51">
        <f ca="1" t="shared" si="1"/>
        <v>0</v>
      </c>
      <c r="X47" s="51">
        <f>IFERROR(_xlfn.XLOOKUP($B47,社保汇总表!B:B,社保汇总表!G:G),0)</f>
        <v>420.68</v>
      </c>
      <c r="Y47" s="51">
        <f>VLOOKUP($B47,公积金汇总表!$P:$Q,2,0)</f>
        <v>118</v>
      </c>
      <c r="Z47" s="51"/>
      <c r="AA47" s="316" t="str">
        <f ca="1" t="shared" si="4"/>
        <v>事假 8小时(04/04 09:00-04/04 18:30);外出 4.5小时(04/08 14:00-04/08 18:30)，缺卡1次</v>
      </c>
      <c r="AB47" s="316">
        <f ca="1" t="shared" si="2"/>
        <v>1.5</v>
      </c>
    </row>
    <row r="48" s="349" customFormat="1" ht="22" customHeight="1" spans="1:28">
      <c r="A48" s="370">
        <v>46</v>
      </c>
      <c r="B48" s="285" t="s">
        <v>132</v>
      </c>
      <c r="C48" s="370">
        <v>4</v>
      </c>
      <c r="D48" s="370" t="s">
        <v>27</v>
      </c>
      <c r="E48" s="370" t="s">
        <v>130</v>
      </c>
      <c r="F48" s="371">
        <v>44197</v>
      </c>
      <c r="G48" s="51">
        <f ca="1" t="shared" ref="G48:V48" si="48">VLOOKUP($B48,INDIRECT($D48&amp;"!$AG$1:$AY$66"),MATCH(G$1,INDIRECT($D48&amp;"!$AG$1:$AY$1"),0),0)</f>
        <v>24</v>
      </c>
      <c r="H48" s="51">
        <f ca="1" t="shared" si="48"/>
        <v>22.44</v>
      </c>
      <c r="I48" s="51">
        <f ca="1" t="shared" si="48"/>
        <v>0</v>
      </c>
      <c r="J48" s="51">
        <f ca="1" t="shared" si="48"/>
        <v>0</v>
      </c>
      <c r="K48" s="51">
        <f ca="1" t="shared" si="48"/>
        <v>0</v>
      </c>
      <c r="L48" s="51">
        <f ca="1" t="shared" si="48"/>
        <v>0</v>
      </c>
      <c r="M48" s="51">
        <f ca="1" t="shared" si="48"/>
        <v>0.56</v>
      </c>
      <c r="N48" s="51">
        <f ca="1" t="shared" si="48"/>
        <v>0</v>
      </c>
      <c r="O48" s="51">
        <f ca="1" t="shared" si="48"/>
        <v>0</v>
      </c>
      <c r="P48" s="51">
        <f ca="1" t="shared" si="48"/>
        <v>0</v>
      </c>
      <c r="Q48" s="51">
        <f ca="1" t="shared" si="48"/>
        <v>0</v>
      </c>
      <c r="R48" s="51">
        <f ca="1" t="shared" si="48"/>
        <v>0</v>
      </c>
      <c r="S48" s="51">
        <f ca="1" t="shared" si="48"/>
        <v>0</v>
      </c>
      <c r="T48" s="51">
        <f ca="1" t="shared" si="48"/>
        <v>1</v>
      </c>
      <c r="U48" s="51">
        <f ca="1" t="shared" si="48"/>
        <v>24</v>
      </c>
      <c r="V48" s="51">
        <f ca="1" t="shared" si="48"/>
        <v>0</v>
      </c>
      <c r="W48" s="51">
        <f ca="1" t="shared" si="1"/>
        <v>200</v>
      </c>
      <c r="X48" s="51">
        <f>IFERROR(_xlfn.XLOOKUP($B48,社保汇总表!B:B,社保汇总表!G:G),0)</f>
        <v>521.58</v>
      </c>
      <c r="Y48" s="51">
        <f>VLOOKUP($B48,公积金汇总表!$P:$Q,2,0)</f>
        <v>118</v>
      </c>
      <c r="Z48" s="51"/>
      <c r="AA48" s="316" t="str">
        <f ca="1" t="shared" si="4"/>
        <v>全勤，年假 4.5小时(04/24 14:00-04/24 18:30)</v>
      </c>
      <c r="AB48" s="316">
        <f ca="1" t="shared" si="2"/>
        <v>0</v>
      </c>
    </row>
    <row r="49" s="349" customFormat="1" ht="22" customHeight="1" spans="1:28">
      <c r="A49" s="370">
        <v>47</v>
      </c>
      <c r="B49" s="285" t="s">
        <v>134</v>
      </c>
      <c r="C49" s="370">
        <v>4</v>
      </c>
      <c r="D49" s="370" t="s">
        <v>27</v>
      </c>
      <c r="E49" s="370" t="s">
        <v>130</v>
      </c>
      <c r="F49" s="371">
        <v>44348</v>
      </c>
      <c r="G49" s="51">
        <f ca="1" t="shared" ref="G49:V49" si="49">VLOOKUP($B49,INDIRECT($D49&amp;"!$AG$1:$AY$66"),MATCH(G$1,INDIRECT($D49&amp;"!$AG$1:$AY$1"),0),0)</f>
        <v>24</v>
      </c>
      <c r="H49" s="51">
        <f ca="1" t="shared" si="49"/>
        <v>22.56</v>
      </c>
      <c r="I49" s="51">
        <f ca="1" t="shared" si="49"/>
        <v>0</v>
      </c>
      <c r="J49" s="51">
        <f ca="1" t="shared" si="49"/>
        <v>0</v>
      </c>
      <c r="K49" s="51">
        <f ca="1" t="shared" si="49"/>
        <v>0</v>
      </c>
      <c r="L49" s="51">
        <f ca="1" t="shared" si="49"/>
        <v>0</v>
      </c>
      <c r="M49" s="51">
        <f ca="1" t="shared" si="49"/>
        <v>0.44</v>
      </c>
      <c r="N49" s="51">
        <f ca="1" t="shared" si="49"/>
        <v>0</v>
      </c>
      <c r="O49" s="51">
        <f ca="1" t="shared" si="49"/>
        <v>0</v>
      </c>
      <c r="P49" s="51">
        <f ca="1" t="shared" si="49"/>
        <v>0</v>
      </c>
      <c r="Q49" s="51">
        <f ca="1" t="shared" si="49"/>
        <v>0</v>
      </c>
      <c r="R49" s="51">
        <f ca="1" t="shared" si="49"/>
        <v>0</v>
      </c>
      <c r="S49" s="51">
        <f ca="1" t="shared" si="49"/>
        <v>0</v>
      </c>
      <c r="T49" s="51">
        <f ca="1" t="shared" si="49"/>
        <v>1</v>
      </c>
      <c r="U49" s="51">
        <f ca="1" t="shared" si="49"/>
        <v>24</v>
      </c>
      <c r="V49" s="51">
        <f ca="1" t="shared" si="49"/>
        <v>0</v>
      </c>
      <c r="W49" s="51">
        <f ca="1" t="shared" si="1"/>
        <v>200</v>
      </c>
      <c r="X49" s="51">
        <f>IFERROR(_xlfn.XLOOKUP($B49,社保汇总表!B:B,社保汇总表!G:G),0)</f>
        <v>420.68</v>
      </c>
      <c r="Y49" s="51">
        <f>VLOOKUP($B49,公积金汇总表!$P:$Q,2,0)</f>
        <v>126</v>
      </c>
      <c r="Z49" s="51"/>
      <c r="AA49" s="316" t="str">
        <f ca="1" t="shared" si="4"/>
        <v>全勤，年假 3.5小时(04/28 09:00-04/28 12:30)</v>
      </c>
      <c r="AB49" s="316">
        <f ca="1" t="shared" si="2"/>
        <v>0</v>
      </c>
    </row>
    <row r="50" s="349" customFormat="1" ht="22" customHeight="1" spans="1:28">
      <c r="A50" s="370">
        <v>48</v>
      </c>
      <c r="B50" s="51" t="s">
        <v>136</v>
      </c>
      <c r="C50" s="370">
        <v>4</v>
      </c>
      <c r="D50" s="370" t="s">
        <v>27</v>
      </c>
      <c r="E50" s="370" t="s">
        <v>130</v>
      </c>
      <c r="F50" s="371"/>
      <c r="G50" s="51">
        <f ca="1" t="shared" ref="G50:V50" si="50">VLOOKUP($B50,INDIRECT($D50&amp;"!$AG$1:$AY$66"),MATCH(G$1,INDIRECT($D50&amp;"!$AG$1:$AY$1"),0),0)</f>
        <v>24</v>
      </c>
      <c r="H50" s="51">
        <f ca="1" t="shared" si="50"/>
        <v>23</v>
      </c>
      <c r="I50" s="51">
        <f ca="1" t="shared" si="50"/>
        <v>0</v>
      </c>
      <c r="J50" s="51">
        <f ca="1" t="shared" si="50"/>
        <v>0</v>
      </c>
      <c r="K50" s="51">
        <f ca="1" t="shared" si="50"/>
        <v>0</v>
      </c>
      <c r="L50" s="51">
        <f ca="1" t="shared" si="50"/>
        <v>0</v>
      </c>
      <c r="M50" s="51">
        <f ca="1" t="shared" si="50"/>
        <v>0</v>
      </c>
      <c r="N50" s="51">
        <f ca="1" t="shared" si="50"/>
        <v>0</v>
      </c>
      <c r="O50" s="51">
        <f ca="1" t="shared" si="50"/>
        <v>0</v>
      </c>
      <c r="P50" s="51">
        <f ca="1" t="shared" si="50"/>
        <v>0</v>
      </c>
      <c r="Q50" s="51">
        <f ca="1" t="shared" si="50"/>
        <v>0</v>
      </c>
      <c r="R50" s="51">
        <f ca="1" t="shared" si="50"/>
        <v>0</v>
      </c>
      <c r="S50" s="51">
        <f ca="1" t="shared" si="50"/>
        <v>0</v>
      </c>
      <c r="T50" s="51">
        <f ca="1" t="shared" si="50"/>
        <v>1</v>
      </c>
      <c r="U50" s="51">
        <f ca="1" t="shared" si="50"/>
        <v>24</v>
      </c>
      <c r="V50" s="51">
        <f ca="1" t="shared" si="50"/>
        <v>0</v>
      </c>
      <c r="W50" s="51">
        <f ca="1" t="shared" si="1"/>
        <v>200</v>
      </c>
      <c r="X50" s="51">
        <f>IFERROR(_xlfn.XLOOKUP($B50,社保汇总表!B:B,社保汇总表!G:G),0)</f>
        <v>521.58</v>
      </c>
      <c r="Y50" s="51">
        <f>VLOOKUP($B50,公积金汇总表!$P:$Q,2,0)</f>
        <v>126</v>
      </c>
      <c r="Z50" s="51"/>
      <c r="AA50" s="316" t="str">
        <f ca="1" t="shared" si="4"/>
        <v>全勤</v>
      </c>
      <c r="AB50" s="316">
        <f ca="1" t="shared" si="2"/>
        <v>0</v>
      </c>
    </row>
    <row r="51" s="349" customFormat="1" ht="22" customHeight="1" spans="1:28">
      <c r="A51" s="370">
        <v>49</v>
      </c>
      <c r="B51" s="51" t="s">
        <v>138</v>
      </c>
      <c r="C51" s="370">
        <v>4</v>
      </c>
      <c r="D51" s="370" t="s">
        <v>27</v>
      </c>
      <c r="E51" s="370" t="s">
        <v>130</v>
      </c>
      <c r="F51" s="371"/>
      <c r="G51" s="51">
        <f ca="1" t="shared" ref="G51:V51" si="51">VLOOKUP($B51,INDIRECT($D51&amp;"!$AG$1:$AY$66"),MATCH(G$1,INDIRECT($D51&amp;"!$AG$1:$AY$1"),0),0)</f>
        <v>24</v>
      </c>
      <c r="H51" s="51">
        <f ca="1" t="shared" si="51"/>
        <v>23</v>
      </c>
      <c r="I51" s="51">
        <f ca="1" t="shared" si="51"/>
        <v>0</v>
      </c>
      <c r="J51" s="51">
        <f ca="1" t="shared" si="51"/>
        <v>0</v>
      </c>
      <c r="K51" s="51">
        <f ca="1" t="shared" si="51"/>
        <v>0</v>
      </c>
      <c r="L51" s="51">
        <f ca="1" t="shared" si="51"/>
        <v>0</v>
      </c>
      <c r="M51" s="51">
        <f ca="1" t="shared" si="51"/>
        <v>0</v>
      </c>
      <c r="N51" s="51">
        <f ca="1" t="shared" si="51"/>
        <v>0</v>
      </c>
      <c r="O51" s="51">
        <f ca="1" t="shared" si="51"/>
        <v>0</v>
      </c>
      <c r="P51" s="51">
        <f ca="1" t="shared" si="51"/>
        <v>0</v>
      </c>
      <c r="Q51" s="51">
        <f ca="1" t="shared" si="51"/>
        <v>0</v>
      </c>
      <c r="R51" s="51">
        <f ca="1" t="shared" si="51"/>
        <v>0</v>
      </c>
      <c r="S51" s="51">
        <f ca="1" t="shared" si="51"/>
        <v>0</v>
      </c>
      <c r="T51" s="51">
        <f ca="1" t="shared" si="51"/>
        <v>1</v>
      </c>
      <c r="U51" s="51">
        <f ca="1" t="shared" si="51"/>
        <v>24</v>
      </c>
      <c r="V51" s="51">
        <f ca="1" t="shared" si="51"/>
        <v>0</v>
      </c>
      <c r="W51" s="51">
        <f ca="1" t="shared" si="1"/>
        <v>200</v>
      </c>
      <c r="X51" s="51">
        <f>IFERROR(_xlfn.XLOOKUP($B51,社保汇总表!B:B,社保汇总表!G:G),0)</f>
        <v>521.58</v>
      </c>
      <c r="Y51" s="51">
        <f>VLOOKUP($B51,公积金汇总表!$P:$Q,2,0)</f>
        <v>126</v>
      </c>
      <c r="Z51" s="51"/>
      <c r="AA51" s="316" t="str">
        <f ca="1" t="shared" si="4"/>
        <v>全勤</v>
      </c>
      <c r="AB51" s="316">
        <f ca="1" t="shared" si="2"/>
        <v>0</v>
      </c>
    </row>
    <row r="52" s="349" customFormat="1" ht="22" customHeight="1" spans="1:28">
      <c r="A52" s="370">
        <v>50</v>
      </c>
      <c r="B52" s="285" t="s">
        <v>140</v>
      </c>
      <c r="C52" s="370">
        <v>4</v>
      </c>
      <c r="D52" s="370" t="s">
        <v>27</v>
      </c>
      <c r="E52" s="370" t="s">
        <v>141</v>
      </c>
      <c r="F52" s="371">
        <v>45881</v>
      </c>
      <c r="G52" s="51">
        <f ca="1" t="shared" ref="G52:V52" si="52">VLOOKUP($B52,INDIRECT($D52&amp;"!$AG$1:$AY$66"),MATCH(G$1,INDIRECT($D52&amp;"!$AG$1:$AY$1"),0),0)</f>
        <v>24</v>
      </c>
      <c r="H52" s="51">
        <f ca="1" t="shared" si="52"/>
        <v>23</v>
      </c>
      <c r="I52" s="51">
        <f ca="1" t="shared" si="52"/>
        <v>0</v>
      </c>
      <c r="J52" s="51">
        <f ca="1" t="shared" si="52"/>
        <v>0</v>
      </c>
      <c r="K52" s="51">
        <f ca="1" t="shared" si="52"/>
        <v>0</v>
      </c>
      <c r="L52" s="51">
        <f ca="1" t="shared" si="52"/>
        <v>0</v>
      </c>
      <c r="M52" s="51">
        <f ca="1" t="shared" si="52"/>
        <v>0</v>
      </c>
      <c r="N52" s="51">
        <f ca="1" t="shared" si="52"/>
        <v>0</v>
      </c>
      <c r="O52" s="51">
        <f ca="1" t="shared" si="52"/>
        <v>0</v>
      </c>
      <c r="P52" s="51">
        <f ca="1" t="shared" si="52"/>
        <v>0</v>
      </c>
      <c r="Q52" s="51">
        <f ca="1" t="shared" si="52"/>
        <v>0</v>
      </c>
      <c r="R52" s="51">
        <f ca="1" t="shared" si="52"/>
        <v>0</v>
      </c>
      <c r="S52" s="51">
        <f ca="1" t="shared" si="52"/>
        <v>0</v>
      </c>
      <c r="T52" s="51">
        <f ca="1" t="shared" si="52"/>
        <v>1</v>
      </c>
      <c r="U52" s="51">
        <f ca="1" t="shared" si="52"/>
        <v>24</v>
      </c>
      <c r="V52" s="51">
        <f ca="1" t="shared" si="52"/>
        <v>0</v>
      </c>
      <c r="W52" s="51">
        <f ca="1" t="shared" si="1"/>
        <v>200</v>
      </c>
      <c r="X52" s="51">
        <f>IFERROR(_xlfn.XLOOKUP($B52,社保汇总表!B:B,社保汇总表!G:G),0)</f>
        <v>420.68</v>
      </c>
      <c r="Y52" s="51">
        <f>VLOOKUP($B52,公积金汇总表!$P:$Q,2,0)</f>
        <v>126</v>
      </c>
      <c r="Z52" s="51"/>
      <c r="AA52" s="316" t="str">
        <f ca="1" t="shared" si="4"/>
        <v>全勤</v>
      </c>
      <c r="AB52" s="316">
        <f ca="1" t="shared" si="2"/>
        <v>0</v>
      </c>
    </row>
    <row r="53" s="349" customFormat="1" ht="22" customHeight="1" spans="1:28">
      <c r="A53" s="370">
        <v>51</v>
      </c>
      <c r="B53" s="285" t="s">
        <v>143</v>
      </c>
      <c r="C53" s="370">
        <v>4</v>
      </c>
      <c r="D53" s="370" t="s">
        <v>144</v>
      </c>
      <c r="E53" s="370" t="s">
        <v>145</v>
      </c>
      <c r="F53" s="371">
        <v>44546</v>
      </c>
      <c r="G53" s="51">
        <f ca="1" t="shared" ref="G53:V53" si="53">VLOOKUP($B53,INDIRECT($D53&amp;"!$AG$1:$AY$66"),MATCH(G$1,INDIRECT($D53&amp;"!$AG$1:$AY$1"),0),0)</f>
        <v>24</v>
      </c>
      <c r="H53" s="51">
        <f ca="1" t="shared" si="53"/>
        <v>23</v>
      </c>
      <c r="I53" s="51">
        <f ca="1" t="shared" si="53"/>
        <v>0</v>
      </c>
      <c r="J53" s="51">
        <f ca="1" t="shared" si="53"/>
        <v>0</v>
      </c>
      <c r="K53" s="51">
        <f ca="1" t="shared" si="53"/>
        <v>0</v>
      </c>
      <c r="L53" s="51">
        <f ca="1" t="shared" si="53"/>
        <v>0</v>
      </c>
      <c r="M53" s="51">
        <f ca="1" t="shared" si="53"/>
        <v>0</v>
      </c>
      <c r="N53" s="51">
        <f ca="1" t="shared" si="53"/>
        <v>0</v>
      </c>
      <c r="O53" s="51">
        <f ca="1" t="shared" si="53"/>
        <v>0</v>
      </c>
      <c r="P53" s="51">
        <f ca="1" t="shared" si="53"/>
        <v>0</v>
      </c>
      <c r="Q53" s="51">
        <f ca="1" t="shared" si="53"/>
        <v>0</v>
      </c>
      <c r="R53" s="51">
        <f ca="1" t="shared" si="53"/>
        <v>0</v>
      </c>
      <c r="S53" s="51">
        <f ca="1" t="shared" si="53"/>
        <v>0</v>
      </c>
      <c r="T53" s="51">
        <f ca="1" t="shared" si="53"/>
        <v>1</v>
      </c>
      <c r="U53" s="51">
        <f ca="1" t="shared" si="53"/>
        <v>24</v>
      </c>
      <c r="V53" s="51">
        <f ca="1" t="shared" si="53"/>
        <v>0</v>
      </c>
      <c r="W53" s="51">
        <f ca="1" t="shared" si="1"/>
        <v>200</v>
      </c>
      <c r="X53" s="51">
        <f>IFERROR(_xlfn.XLOOKUP($B53,社保汇总表!B:B,社保汇总表!G:G),0)</f>
        <v>420.68</v>
      </c>
      <c r="Y53" s="51">
        <f>VLOOKUP($B53,公积金汇总表!$P:$Q,2,0)</f>
        <v>118</v>
      </c>
      <c r="Z53" s="51"/>
      <c r="AA53" s="316" t="str">
        <f ca="1" t="shared" si="4"/>
        <v>全勤</v>
      </c>
      <c r="AB53" s="316">
        <f ca="1" t="shared" si="2"/>
        <v>1.5</v>
      </c>
    </row>
    <row r="54" s="349" customFormat="1" ht="22" customHeight="1" spans="1:28">
      <c r="A54" s="370">
        <v>52</v>
      </c>
      <c r="B54" s="51" t="s">
        <v>147</v>
      </c>
      <c r="C54" s="370">
        <v>4</v>
      </c>
      <c r="D54" s="370" t="s">
        <v>144</v>
      </c>
      <c r="E54" s="370" t="s">
        <v>145</v>
      </c>
      <c r="F54" s="371">
        <v>43034</v>
      </c>
      <c r="G54" s="51">
        <f ca="1" t="shared" ref="G54:V54" si="54">VLOOKUP($B54,INDIRECT($D54&amp;"!$AG$1:$AY$66"),MATCH(G$1,INDIRECT($D54&amp;"!$AG$1:$AY$1"),0),0)</f>
        <v>24</v>
      </c>
      <c r="H54" s="51">
        <f ca="1" t="shared" si="54"/>
        <v>23</v>
      </c>
      <c r="I54" s="51">
        <f ca="1" t="shared" si="54"/>
        <v>0</v>
      </c>
      <c r="J54" s="51">
        <f ca="1" t="shared" si="54"/>
        <v>0</v>
      </c>
      <c r="K54" s="51">
        <f ca="1" t="shared" si="54"/>
        <v>0</v>
      </c>
      <c r="L54" s="51">
        <f ca="1" t="shared" si="54"/>
        <v>0</v>
      </c>
      <c r="M54" s="51">
        <f ca="1" t="shared" si="54"/>
        <v>0</v>
      </c>
      <c r="N54" s="51">
        <f ca="1" t="shared" si="54"/>
        <v>0</v>
      </c>
      <c r="O54" s="51">
        <f ca="1" t="shared" si="54"/>
        <v>0</v>
      </c>
      <c r="P54" s="51">
        <f ca="1" t="shared" si="54"/>
        <v>0</v>
      </c>
      <c r="Q54" s="51">
        <f ca="1" t="shared" si="54"/>
        <v>0</v>
      </c>
      <c r="R54" s="51">
        <f ca="1" t="shared" si="54"/>
        <v>0</v>
      </c>
      <c r="S54" s="51">
        <f ca="1" t="shared" si="54"/>
        <v>0</v>
      </c>
      <c r="T54" s="51">
        <f ca="1" t="shared" si="54"/>
        <v>1</v>
      </c>
      <c r="U54" s="51">
        <f ca="1" t="shared" si="54"/>
        <v>24</v>
      </c>
      <c r="V54" s="51">
        <f ca="1" t="shared" si="54"/>
        <v>0</v>
      </c>
      <c r="W54" s="51">
        <f ca="1" t="shared" si="1"/>
        <v>200</v>
      </c>
      <c r="X54" s="51">
        <f>IFERROR(_xlfn.XLOOKUP($B54,社保汇总表!B:B,社保汇总表!G:G),0)</f>
        <v>420.68</v>
      </c>
      <c r="Y54" s="51">
        <f>VLOOKUP($B54,公积金汇总表!$P:$Q,2,0)</f>
        <v>118</v>
      </c>
      <c r="Z54" s="51"/>
      <c r="AA54" s="316" t="str">
        <f ca="1" t="shared" si="4"/>
        <v>全勤</v>
      </c>
      <c r="AB54" s="316">
        <f ca="1" t="shared" si="2"/>
        <v>0</v>
      </c>
    </row>
    <row r="55" s="349" customFormat="1" ht="22" customHeight="1" spans="1:28">
      <c r="A55" s="370">
        <v>53</v>
      </c>
      <c r="B55" s="285" t="s">
        <v>149</v>
      </c>
      <c r="C55" s="370">
        <v>4</v>
      </c>
      <c r="D55" s="370" t="s">
        <v>144</v>
      </c>
      <c r="E55" s="370" t="s">
        <v>150</v>
      </c>
      <c r="F55" s="371">
        <v>44587</v>
      </c>
      <c r="G55" s="51" t="str">
        <f ca="1" t="shared" ref="G55:V55" si="55">VLOOKUP($B55,INDIRECT($D55&amp;"!$AG$1:$AY$66"),MATCH(G$1,INDIRECT($D55&amp;"!$AG$1:$AY$1"),0),0)</f>
        <v>24</v>
      </c>
      <c r="H55" s="51">
        <f ca="1" t="shared" si="55"/>
        <v>22.37</v>
      </c>
      <c r="I55" s="51">
        <f ca="1" t="shared" si="55"/>
        <v>0</v>
      </c>
      <c r="J55" s="51">
        <f ca="1" t="shared" si="55"/>
        <v>0</v>
      </c>
      <c r="K55" s="51">
        <f ca="1" t="shared" si="55"/>
        <v>0</v>
      </c>
      <c r="L55" s="51">
        <f ca="1" t="shared" si="55"/>
        <v>0</v>
      </c>
      <c r="M55" s="51">
        <f ca="1" t="shared" si="55"/>
        <v>0.63</v>
      </c>
      <c r="N55" s="51">
        <f ca="1" t="shared" si="55"/>
        <v>0</v>
      </c>
      <c r="O55" s="51">
        <f ca="1" t="shared" si="55"/>
        <v>0</v>
      </c>
      <c r="P55" s="51">
        <f ca="1" t="shared" si="55"/>
        <v>0</v>
      </c>
      <c r="Q55" s="51">
        <f ca="1" t="shared" si="55"/>
        <v>0</v>
      </c>
      <c r="R55" s="51">
        <f ca="1" t="shared" si="55"/>
        <v>0</v>
      </c>
      <c r="S55" s="51">
        <f ca="1" t="shared" si="55"/>
        <v>0</v>
      </c>
      <c r="T55" s="51">
        <f ca="1" t="shared" si="55"/>
        <v>1</v>
      </c>
      <c r="U55" s="51">
        <f ca="1" t="shared" si="55"/>
        <v>24</v>
      </c>
      <c r="V55" s="51">
        <f ca="1" t="shared" si="55"/>
        <v>0</v>
      </c>
      <c r="W55" s="51" t="str">
        <f ca="1" t="shared" si="1"/>
        <v>200</v>
      </c>
      <c r="X55" s="51">
        <f>IFERROR(_xlfn.XLOOKUP($B55,社保汇总表!B:B,社保汇总表!G:G),0)</f>
        <v>420.68</v>
      </c>
      <c r="Y55" s="51">
        <f>VLOOKUP($B55,公积金汇总表!$P:$Q,2,0)</f>
        <v>118</v>
      </c>
      <c r="Z55" s="51"/>
      <c r="AA55" s="316" t="str">
        <f ca="1" t="shared" si="4"/>
        <v>全勤，年假 5小时(04/15 13:30-04/15 18:30)</v>
      </c>
      <c r="AB55" s="316">
        <f ca="1" t="shared" si="2"/>
        <v>0.5</v>
      </c>
    </row>
    <row r="56" s="349" customFormat="1" ht="22" customHeight="1" spans="1:28">
      <c r="A56" s="370">
        <v>54</v>
      </c>
      <c r="B56" s="285" t="s">
        <v>152</v>
      </c>
      <c r="C56" s="370">
        <v>4</v>
      </c>
      <c r="D56" s="370" t="s">
        <v>144</v>
      </c>
      <c r="E56" s="370" t="s">
        <v>150</v>
      </c>
      <c r="F56" s="371">
        <v>43082</v>
      </c>
      <c r="G56" s="51">
        <f ca="1" t="shared" ref="G56:V56" si="56">VLOOKUP($B56,INDIRECT($D56&amp;"!$AG$1:$AY$66"),MATCH(G$1,INDIRECT($D56&amp;"!$AG$1:$AY$1"),0),0)</f>
        <v>24</v>
      </c>
      <c r="H56" s="51">
        <f ca="1" t="shared" si="56"/>
        <v>23</v>
      </c>
      <c r="I56" s="51">
        <f ca="1" t="shared" si="56"/>
        <v>0</v>
      </c>
      <c r="J56" s="51">
        <f ca="1" t="shared" si="56"/>
        <v>0</v>
      </c>
      <c r="K56" s="51">
        <f ca="1" t="shared" si="56"/>
        <v>0</v>
      </c>
      <c r="L56" s="51">
        <f ca="1" t="shared" si="56"/>
        <v>0</v>
      </c>
      <c r="M56" s="51">
        <f ca="1" t="shared" si="56"/>
        <v>0</v>
      </c>
      <c r="N56" s="51">
        <f ca="1" t="shared" si="56"/>
        <v>0</v>
      </c>
      <c r="O56" s="51">
        <f ca="1" t="shared" si="56"/>
        <v>0</v>
      </c>
      <c r="P56" s="51">
        <f ca="1" t="shared" si="56"/>
        <v>0</v>
      </c>
      <c r="Q56" s="51">
        <f ca="1" t="shared" si="56"/>
        <v>0</v>
      </c>
      <c r="R56" s="51">
        <f ca="1" t="shared" si="56"/>
        <v>0</v>
      </c>
      <c r="S56" s="51">
        <f ca="1" t="shared" si="56"/>
        <v>0</v>
      </c>
      <c r="T56" s="51">
        <f ca="1" t="shared" si="56"/>
        <v>1</v>
      </c>
      <c r="U56" s="51">
        <f ca="1" t="shared" si="56"/>
        <v>24</v>
      </c>
      <c r="V56" s="51">
        <f ca="1" t="shared" si="56"/>
        <v>0</v>
      </c>
      <c r="W56" s="51">
        <f ca="1" t="shared" si="1"/>
        <v>200</v>
      </c>
      <c r="X56" s="51">
        <f>IFERROR(_xlfn.XLOOKUP($B56,社保汇总表!B:B,社保汇总表!G:G),0)</f>
        <v>420.68</v>
      </c>
      <c r="Y56" s="51">
        <f>VLOOKUP($B56,公积金汇总表!$P:$Q,2,0)</f>
        <v>118</v>
      </c>
      <c r="Z56" s="51"/>
      <c r="AA56" s="316" t="str">
        <f ca="1" t="shared" si="4"/>
        <v>全勤</v>
      </c>
      <c r="AB56" s="316">
        <f ca="1" t="shared" si="2"/>
        <v>0</v>
      </c>
    </row>
    <row r="57" s="349" customFormat="1" ht="22" customHeight="1" spans="1:28">
      <c r="A57" s="370">
        <v>55</v>
      </c>
      <c r="B57" s="51" t="s">
        <v>154</v>
      </c>
      <c r="C57" s="370">
        <v>4</v>
      </c>
      <c r="D57" s="370" t="s">
        <v>144</v>
      </c>
      <c r="E57" s="370" t="s">
        <v>150</v>
      </c>
      <c r="F57" s="371">
        <v>44633</v>
      </c>
      <c r="G57" s="51">
        <f ca="1" t="shared" ref="G57:V57" si="57">VLOOKUP($B57,INDIRECT($D57&amp;"!$AG$1:$AY$66"),MATCH(G$1,INDIRECT($D57&amp;"!$AG$1:$AY$1"),0),0)</f>
        <v>24</v>
      </c>
      <c r="H57" s="51">
        <f ca="1" t="shared" si="57"/>
        <v>23</v>
      </c>
      <c r="I57" s="51">
        <f ca="1" t="shared" si="57"/>
        <v>0</v>
      </c>
      <c r="J57" s="51">
        <f ca="1" t="shared" si="57"/>
        <v>0</v>
      </c>
      <c r="K57" s="51">
        <f ca="1" t="shared" si="57"/>
        <v>0</v>
      </c>
      <c r="L57" s="51">
        <f ca="1" t="shared" si="57"/>
        <v>0</v>
      </c>
      <c r="M57" s="51">
        <f ca="1" t="shared" si="57"/>
        <v>0</v>
      </c>
      <c r="N57" s="51">
        <f ca="1" t="shared" si="57"/>
        <v>0</v>
      </c>
      <c r="O57" s="51">
        <f ca="1" t="shared" si="57"/>
        <v>0</v>
      </c>
      <c r="P57" s="51">
        <f ca="1" t="shared" si="57"/>
        <v>0</v>
      </c>
      <c r="Q57" s="51">
        <f ca="1" t="shared" si="57"/>
        <v>0</v>
      </c>
      <c r="R57" s="51">
        <f ca="1" t="shared" si="57"/>
        <v>0</v>
      </c>
      <c r="S57" s="51">
        <f ca="1" t="shared" si="57"/>
        <v>0</v>
      </c>
      <c r="T57" s="51">
        <f ca="1" t="shared" si="57"/>
        <v>1</v>
      </c>
      <c r="U57" s="51">
        <f ca="1" t="shared" si="57"/>
        <v>24</v>
      </c>
      <c r="V57" s="51">
        <f ca="1" t="shared" si="57"/>
        <v>0</v>
      </c>
      <c r="W57" s="51">
        <f ca="1" t="shared" si="1"/>
        <v>200</v>
      </c>
      <c r="X57" s="51">
        <f>IFERROR(_xlfn.XLOOKUP($B57,社保汇总表!B:B,社保汇总表!G:G),0)</f>
        <v>420.68</v>
      </c>
      <c r="Y57" s="51">
        <f>VLOOKUP($B57,公积金汇总表!$P:$Q,2,0)</f>
        <v>118</v>
      </c>
      <c r="Z57" s="51"/>
      <c r="AA57" s="316" t="str">
        <f ca="1" t="shared" si="4"/>
        <v>全勤</v>
      </c>
      <c r="AB57" s="316">
        <f ca="1" t="shared" si="2"/>
        <v>0</v>
      </c>
    </row>
    <row r="58" s="349" customFormat="1" ht="22" customHeight="1" spans="1:28">
      <c r="A58" s="370">
        <v>56</v>
      </c>
      <c r="B58" s="51" t="s">
        <v>156</v>
      </c>
      <c r="C58" s="370">
        <v>4</v>
      </c>
      <c r="D58" s="370" t="s">
        <v>144</v>
      </c>
      <c r="E58" s="370" t="s">
        <v>150</v>
      </c>
      <c r="F58" s="371">
        <v>45192</v>
      </c>
      <c r="G58" s="51">
        <f ca="1" t="shared" ref="G58:V58" si="58">VLOOKUP($B58,INDIRECT($D58&amp;"!$AG$1:$AY$66"),MATCH(G$1,INDIRECT($D58&amp;"!$AG$1:$AY$1"),0),0)</f>
        <v>24</v>
      </c>
      <c r="H58" s="51">
        <f ca="1" t="shared" si="58"/>
        <v>22</v>
      </c>
      <c r="I58" s="51">
        <f ca="1" t="shared" si="58"/>
        <v>0</v>
      </c>
      <c r="J58" s="51">
        <f ca="1" t="shared" si="58"/>
        <v>0</v>
      </c>
      <c r="K58" s="51">
        <f ca="1" t="shared" si="58"/>
        <v>0</v>
      </c>
      <c r="L58" s="51">
        <f ca="1" t="shared" si="58"/>
        <v>1</v>
      </c>
      <c r="M58" s="51">
        <f ca="1" t="shared" si="58"/>
        <v>0</v>
      </c>
      <c r="N58" s="51">
        <f ca="1" t="shared" si="58"/>
        <v>0</v>
      </c>
      <c r="O58" s="51">
        <f ca="1" t="shared" si="58"/>
        <v>0</v>
      </c>
      <c r="P58" s="51">
        <f ca="1" t="shared" si="58"/>
        <v>0</v>
      </c>
      <c r="Q58" s="51">
        <f ca="1" t="shared" si="58"/>
        <v>0</v>
      </c>
      <c r="R58" s="51">
        <f ca="1" t="shared" si="58"/>
        <v>0</v>
      </c>
      <c r="S58" s="51">
        <f ca="1" t="shared" si="58"/>
        <v>0</v>
      </c>
      <c r="T58" s="51">
        <f ca="1" t="shared" si="58"/>
        <v>1</v>
      </c>
      <c r="U58" s="51">
        <f ca="1" t="shared" si="58"/>
        <v>23</v>
      </c>
      <c r="V58" s="51">
        <f ca="1" t="shared" si="58"/>
        <v>0</v>
      </c>
      <c r="W58" s="51">
        <f ca="1" t="shared" si="1"/>
        <v>0</v>
      </c>
      <c r="X58" s="51">
        <f>IFERROR(_xlfn.XLOOKUP($B58,社保汇总表!B:B,社保汇总表!G:G),0)</f>
        <v>420.68</v>
      </c>
      <c r="Y58" s="51">
        <f>VLOOKUP($B58,公积金汇总表!$P:$Q,2,0)</f>
        <v>118</v>
      </c>
      <c r="Z58" s="51"/>
      <c r="AA58" s="316" t="str">
        <f ca="1" t="shared" si="4"/>
        <v>事假 8小时(04/04 09:00-04/04 18:30)</v>
      </c>
      <c r="AB58" s="316">
        <f ca="1" t="shared" si="2"/>
        <v>0</v>
      </c>
    </row>
    <row r="59" s="349" customFormat="1" ht="22" customHeight="1" spans="1:28">
      <c r="A59" s="370">
        <v>57</v>
      </c>
      <c r="B59" s="51" t="s">
        <v>158</v>
      </c>
      <c r="C59" s="370">
        <v>4</v>
      </c>
      <c r="D59" s="370" t="s">
        <v>144</v>
      </c>
      <c r="E59" s="370" t="s">
        <v>145</v>
      </c>
      <c r="F59" s="371">
        <v>45230</v>
      </c>
      <c r="G59" s="51">
        <f ca="1" t="shared" ref="G59:V59" si="59">VLOOKUP($B59,INDIRECT($D59&amp;"!$AG$1:$AY$66"),MATCH(G$1,INDIRECT($D59&amp;"!$AG$1:$AY$1"),0),0)</f>
        <v>24</v>
      </c>
      <c r="H59" s="51">
        <f ca="1" t="shared" si="59"/>
        <v>21</v>
      </c>
      <c r="I59" s="51">
        <f ca="1" t="shared" si="59"/>
        <v>0</v>
      </c>
      <c r="J59" s="51">
        <f ca="1" t="shared" si="59"/>
        <v>0</v>
      </c>
      <c r="K59" s="51">
        <f ca="1" t="shared" si="59"/>
        <v>0</v>
      </c>
      <c r="L59" s="51">
        <f ca="1" t="shared" si="59"/>
        <v>0</v>
      </c>
      <c r="M59" s="51">
        <f ca="1" t="shared" si="59"/>
        <v>2</v>
      </c>
      <c r="N59" s="51">
        <f ca="1" t="shared" si="59"/>
        <v>0</v>
      </c>
      <c r="O59" s="51">
        <f ca="1" t="shared" si="59"/>
        <v>0</v>
      </c>
      <c r="P59" s="51">
        <f ca="1" t="shared" si="59"/>
        <v>0</v>
      </c>
      <c r="Q59" s="51">
        <f ca="1" t="shared" si="59"/>
        <v>0</v>
      </c>
      <c r="R59" s="51">
        <f ca="1" t="shared" si="59"/>
        <v>0</v>
      </c>
      <c r="S59" s="51">
        <f ca="1" t="shared" si="59"/>
        <v>0</v>
      </c>
      <c r="T59" s="51">
        <f ca="1" t="shared" si="59"/>
        <v>1</v>
      </c>
      <c r="U59" s="51">
        <f ca="1" t="shared" si="59"/>
        <v>24</v>
      </c>
      <c r="V59" s="51">
        <f ca="1" t="shared" si="59"/>
        <v>0</v>
      </c>
      <c r="W59" s="51">
        <f ca="1" t="shared" si="1"/>
        <v>200</v>
      </c>
      <c r="X59" s="51">
        <f>IFERROR(_xlfn.XLOOKUP($B59,社保汇总表!B:B,社保汇总表!G:G),0)</f>
        <v>420.68</v>
      </c>
      <c r="Y59" s="51">
        <f>VLOOKUP($B59,公积金汇总表!$P:$Q,2,0)</f>
        <v>118</v>
      </c>
      <c r="Z59" s="51"/>
      <c r="AA59" s="316" t="str">
        <f ca="1" t="shared" si="4"/>
        <v>全勤，年假 16小时(04/13 09:00-04/14 18:30)</v>
      </c>
      <c r="AB59" s="316">
        <f ca="1" t="shared" si="2"/>
        <v>0</v>
      </c>
    </row>
    <row r="60" s="349" customFormat="1" ht="22" customHeight="1" spans="1:28">
      <c r="A60" s="370">
        <v>58</v>
      </c>
      <c r="B60" s="51" t="s">
        <v>160</v>
      </c>
      <c r="C60" s="370">
        <v>4</v>
      </c>
      <c r="D60" s="370" t="s">
        <v>144</v>
      </c>
      <c r="E60" s="370" t="s">
        <v>150</v>
      </c>
      <c r="F60" s="371">
        <v>44378</v>
      </c>
      <c r="G60" s="51">
        <f ca="1" t="shared" ref="G60:V60" si="60">VLOOKUP($B60,INDIRECT($D60&amp;"!$AG$1:$AY$66"),MATCH(G$1,INDIRECT($D60&amp;"!$AG$1:$AY$1"),0),0)</f>
        <v>24</v>
      </c>
      <c r="H60" s="51">
        <f ca="1" t="shared" si="60"/>
        <v>23</v>
      </c>
      <c r="I60" s="51">
        <f ca="1" t="shared" si="60"/>
        <v>0</v>
      </c>
      <c r="J60" s="51">
        <f ca="1" t="shared" si="60"/>
        <v>0</v>
      </c>
      <c r="K60" s="51">
        <f ca="1" t="shared" si="60"/>
        <v>0</v>
      </c>
      <c r="L60" s="51">
        <f ca="1" t="shared" si="60"/>
        <v>0</v>
      </c>
      <c r="M60" s="51">
        <f ca="1" t="shared" si="60"/>
        <v>0</v>
      </c>
      <c r="N60" s="51">
        <f ca="1" t="shared" si="60"/>
        <v>0</v>
      </c>
      <c r="O60" s="51">
        <f ca="1" t="shared" si="60"/>
        <v>0</v>
      </c>
      <c r="P60" s="51">
        <f ca="1" t="shared" si="60"/>
        <v>0</v>
      </c>
      <c r="Q60" s="51">
        <f ca="1" t="shared" si="60"/>
        <v>0</v>
      </c>
      <c r="R60" s="51">
        <f ca="1" t="shared" si="60"/>
        <v>0</v>
      </c>
      <c r="S60" s="51">
        <f ca="1" t="shared" si="60"/>
        <v>0</v>
      </c>
      <c r="T60" s="51">
        <f ca="1" t="shared" si="60"/>
        <v>1</v>
      </c>
      <c r="U60" s="51">
        <f ca="1" t="shared" si="60"/>
        <v>24</v>
      </c>
      <c r="V60" s="51">
        <f ca="1" t="shared" si="60"/>
        <v>0</v>
      </c>
      <c r="W60" s="51">
        <f ca="1" t="shared" si="1"/>
        <v>200</v>
      </c>
      <c r="X60" s="51">
        <f>IFERROR(_xlfn.XLOOKUP($B60,社保汇总表!B:B,社保汇总表!G:G),0)</f>
        <v>420.68</v>
      </c>
      <c r="Y60" s="51">
        <f>VLOOKUP($B60,公积金汇总表!$P:$Q,2,0)</f>
        <v>118</v>
      </c>
      <c r="Z60" s="51"/>
      <c r="AA60" s="316" t="str">
        <f ca="1" t="shared" si="4"/>
        <v>全勤</v>
      </c>
      <c r="AB60" s="316">
        <f ca="1" t="shared" si="2"/>
        <v>0</v>
      </c>
    </row>
    <row r="61" s="349" customFormat="1" ht="22" customHeight="1" spans="1:28">
      <c r="A61" s="370">
        <v>59</v>
      </c>
      <c r="B61" s="288" t="s">
        <v>162</v>
      </c>
      <c r="C61" s="370">
        <v>4</v>
      </c>
      <c r="D61" s="370" t="s">
        <v>144</v>
      </c>
      <c r="E61" s="370" t="s">
        <v>64</v>
      </c>
      <c r="F61" s="371">
        <v>45836</v>
      </c>
      <c r="G61" s="51">
        <f ca="1" t="shared" ref="G61:V61" si="61">VLOOKUP($B61,INDIRECT($D61&amp;"!$AG$1:$AY$66"),MATCH(G$1,INDIRECT($D61&amp;"!$AG$1:$AY$1"),0),0)</f>
        <v>24</v>
      </c>
      <c r="H61" s="51">
        <f ca="1" t="shared" si="61"/>
        <v>23</v>
      </c>
      <c r="I61" s="51">
        <f ca="1" t="shared" si="61"/>
        <v>0</v>
      </c>
      <c r="J61" s="51">
        <f ca="1" t="shared" si="61"/>
        <v>0</v>
      </c>
      <c r="K61" s="51">
        <f ca="1" t="shared" si="61"/>
        <v>0</v>
      </c>
      <c r="L61" s="51">
        <f ca="1" t="shared" si="61"/>
        <v>0</v>
      </c>
      <c r="M61" s="51">
        <f ca="1" t="shared" si="61"/>
        <v>0</v>
      </c>
      <c r="N61" s="51">
        <f ca="1" t="shared" si="61"/>
        <v>0</v>
      </c>
      <c r="O61" s="51">
        <f ca="1" t="shared" si="61"/>
        <v>0</v>
      </c>
      <c r="P61" s="51">
        <f ca="1" t="shared" si="61"/>
        <v>0</v>
      </c>
      <c r="Q61" s="51">
        <f ca="1" t="shared" si="61"/>
        <v>0</v>
      </c>
      <c r="R61" s="51">
        <f ca="1" t="shared" si="61"/>
        <v>0</v>
      </c>
      <c r="S61" s="51">
        <f ca="1" t="shared" si="61"/>
        <v>0</v>
      </c>
      <c r="T61" s="51">
        <f ca="1" t="shared" si="61"/>
        <v>1</v>
      </c>
      <c r="U61" s="51">
        <f ca="1" t="shared" si="61"/>
        <v>24</v>
      </c>
      <c r="V61" s="51">
        <f ca="1" t="shared" si="61"/>
        <v>0</v>
      </c>
      <c r="W61" s="51">
        <f ca="1" t="shared" si="1"/>
        <v>200</v>
      </c>
      <c r="X61" s="51">
        <f>IFERROR(_xlfn.XLOOKUP($B61,社保汇总表!B:B,社保汇总表!W:W),0)</f>
        <v>415.43</v>
      </c>
      <c r="Y61" s="51">
        <f>VLOOKUP($B61,公积金汇总表!$P:$Q,2,0)</f>
        <v>104</v>
      </c>
      <c r="Z61" s="51"/>
      <c r="AA61" s="316" t="str">
        <f ca="1" t="shared" si="4"/>
        <v>全勤</v>
      </c>
      <c r="AB61" s="316">
        <f ca="1" t="shared" si="2"/>
        <v>0</v>
      </c>
    </row>
    <row r="62" s="349" customFormat="1" ht="22" customHeight="1" spans="1:28">
      <c r="A62" s="370">
        <v>60</v>
      </c>
      <c r="B62" s="288" t="s">
        <v>164</v>
      </c>
      <c r="C62" s="370">
        <v>4</v>
      </c>
      <c r="D62" s="370" t="s">
        <v>144</v>
      </c>
      <c r="E62" s="370" t="s">
        <v>64</v>
      </c>
      <c r="F62" s="371">
        <v>46065</v>
      </c>
      <c r="G62" s="51">
        <f ca="1" t="shared" ref="G62:V62" si="62">VLOOKUP($B62,INDIRECT($D62&amp;"!$AG$1:$AY$66"),MATCH(G$1,INDIRECT($D62&amp;"!$AG$1:$AY$1"),0),0)</f>
        <v>24</v>
      </c>
      <c r="H62" s="51">
        <f ca="1" t="shared" si="62"/>
        <v>22.63</v>
      </c>
      <c r="I62" s="51">
        <f ca="1" t="shared" si="62"/>
        <v>33</v>
      </c>
      <c r="J62" s="51">
        <f ca="1" t="shared" si="62"/>
        <v>0</v>
      </c>
      <c r="K62" s="51">
        <f ca="1" t="shared" si="62"/>
        <v>0</v>
      </c>
      <c r="L62" s="51">
        <f ca="1" t="shared" si="62"/>
        <v>0.37</v>
      </c>
      <c r="M62" s="51">
        <f ca="1" t="shared" si="62"/>
        <v>0</v>
      </c>
      <c r="N62" s="51">
        <f ca="1" t="shared" si="62"/>
        <v>0</v>
      </c>
      <c r="O62" s="51">
        <f ca="1" t="shared" si="62"/>
        <v>0</v>
      </c>
      <c r="P62" s="51">
        <f ca="1" t="shared" si="62"/>
        <v>0</v>
      </c>
      <c r="Q62" s="51">
        <f ca="1" t="shared" si="62"/>
        <v>0</v>
      </c>
      <c r="R62" s="51">
        <f ca="1" t="shared" si="62"/>
        <v>0</v>
      </c>
      <c r="S62" s="51">
        <f ca="1" t="shared" si="62"/>
        <v>0</v>
      </c>
      <c r="T62" s="51">
        <f ca="1" t="shared" si="62"/>
        <v>1</v>
      </c>
      <c r="U62" s="51">
        <f ca="1" t="shared" si="62"/>
        <v>23.63</v>
      </c>
      <c r="V62" s="51">
        <f ca="1" t="shared" si="62"/>
        <v>50</v>
      </c>
      <c r="W62" s="51">
        <f ca="1" t="shared" si="1"/>
        <v>0</v>
      </c>
      <c r="X62" s="51">
        <f>IFERROR(_xlfn.XLOOKUP($B62,社保汇总表!B:B,社保汇总表!W:W),0)</f>
        <v>415.43</v>
      </c>
      <c r="Y62" s="51">
        <f>VLOOKUP($B62,公积金汇总表!$P:$Q,2,0)</f>
        <v>104</v>
      </c>
      <c r="Z62" s="51"/>
      <c r="AA62" s="316" t="str">
        <f ca="1" t="shared" si="4"/>
        <v>事假 3小时(04/17 09:00-04/17 12:00)，迟到6次共33分钟，按人力行政制度一个月内迟到累计30-60分钟（包含60），乐捐50元。</v>
      </c>
      <c r="AB62" s="316">
        <f ca="1" t="shared" si="2"/>
        <v>0.5</v>
      </c>
    </row>
    <row r="63" s="349" customFormat="1" ht="22" customHeight="1" spans="1:28">
      <c r="A63" s="370">
        <v>61</v>
      </c>
      <c r="B63" s="285" t="s">
        <v>166</v>
      </c>
      <c r="C63" s="370">
        <v>4</v>
      </c>
      <c r="D63" s="370" t="s">
        <v>167</v>
      </c>
      <c r="E63" s="374" t="s">
        <v>141</v>
      </c>
      <c r="F63" s="371">
        <v>43983</v>
      </c>
      <c r="G63" s="51">
        <f ca="1" t="shared" ref="G63:V63" si="63">VLOOKUP($B63,INDIRECT($D63&amp;"!$AG$1:$AY$66"),MATCH(G$1,INDIRECT($D63&amp;"!$AG$1:$AY$1"),0),0)</f>
        <v>24</v>
      </c>
      <c r="H63" s="51">
        <f ca="1" t="shared" si="63"/>
        <v>23</v>
      </c>
      <c r="I63" s="51">
        <f ca="1" t="shared" si="63"/>
        <v>0</v>
      </c>
      <c r="J63" s="51">
        <f ca="1" t="shared" si="63"/>
        <v>0</v>
      </c>
      <c r="K63" s="51">
        <f ca="1" t="shared" si="63"/>
        <v>0</v>
      </c>
      <c r="L63" s="51">
        <f ca="1" t="shared" si="63"/>
        <v>0</v>
      </c>
      <c r="M63" s="51">
        <f ca="1" t="shared" si="63"/>
        <v>0</v>
      </c>
      <c r="N63" s="51">
        <f ca="1" t="shared" si="63"/>
        <v>0</v>
      </c>
      <c r="O63" s="51">
        <f ca="1" t="shared" si="63"/>
        <v>0</v>
      </c>
      <c r="P63" s="51">
        <f ca="1" t="shared" si="63"/>
        <v>0</v>
      </c>
      <c r="Q63" s="51">
        <f ca="1" t="shared" si="63"/>
        <v>0</v>
      </c>
      <c r="R63" s="51">
        <f ca="1" t="shared" si="63"/>
        <v>0</v>
      </c>
      <c r="S63" s="51">
        <f ca="1" t="shared" si="63"/>
        <v>0</v>
      </c>
      <c r="T63" s="51">
        <f ca="1" t="shared" si="63"/>
        <v>1</v>
      </c>
      <c r="U63" s="51">
        <f ca="1" t="shared" si="63"/>
        <v>24</v>
      </c>
      <c r="V63" s="51">
        <f ca="1" t="shared" si="63"/>
        <v>0</v>
      </c>
      <c r="W63" s="51">
        <f ca="1" t="shared" si="1"/>
        <v>200</v>
      </c>
      <c r="X63" s="51">
        <f>IFERROR(_xlfn.XLOOKUP($B63,社保汇总表!C:C,社保汇总表!F:F),0)</f>
        <v>458.72</v>
      </c>
      <c r="Y63" s="51">
        <f>VLOOKUP($B63,公积金汇总表!$P:$Q,2,0)</f>
        <v>105</v>
      </c>
      <c r="Z63" s="51"/>
      <c r="AA63" s="316" t="str">
        <f ca="1" t="shared" si="4"/>
        <v>全勤</v>
      </c>
      <c r="AB63" s="316">
        <f ca="1" t="shared" si="2"/>
        <v>0</v>
      </c>
    </row>
    <row r="64" s="349" customFormat="1" ht="22" customHeight="1" spans="1:28">
      <c r="A64" s="370">
        <v>62</v>
      </c>
      <c r="B64" s="374" t="s">
        <v>169</v>
      </c>
      <c r="C64" s="370">
        <v>4</v>
      </c>
      <c r="D64" s="370" t="s">
        <v>167</v>
      </c>
      <c r="E64" s="370" t="s">
        <v>141</v>
      </c>
      <c r="F64" s="371">
        <v>44991</v>
      </c>
      <c r="G64" s="51">
        <f ca="1" t="shared" ref="G64:V64" si="64">VLOOKUP($B64,INDIRECT($D64&amp;"!$AG$1:$AY$66"),MATCH(G$1,INDIRECT($D64&amp;"!$AG$1:$AY$1"),0),0)</f>
        <v>24</v>
      </c>
      <c r="H64" s="51">
        <f ca="1" t="shared" si="64"/>
        <v>23</v>
      </c>
      <c r="I64" s="51">
        <f ca="1" t="shared" si="64"/>
        <v>0</v>
      </c>
      <c r="J64" s="51">
        <f ca="1" t="shared" si="64"/>
        <v>0</v>
      </c>
      <c r="K64" s="51">
        <f ca="1" t="shared" si="64"/>
        <v>0</v>
      </c>
      <c r="L64" s="51">
        <f ca="1" t="shared" si="64"/>
        <v>0</v>
      </c>
      <c r="M64" s="51">
        <f ca="1" t="shared" si="64"/>
        <v>0</v>
      </c>
      <c r="N64" s="51">
        <f ca="1" t="shared" si="64"/>
        <v>0</v>
      </c>
      <c r="O64" s="51">
        <f ca="1" t="shared" si="64"/>
        <v>0</v>
      </c>
      <c r="P64" s="51">
        <f ca="1" t="shared" si="64"/>
        <v>0</v>
      </c>
      <c r="Q64" s="51">
        <f ca="1" t="shared" si="64"/>
        <v>0</v>
      </c>
      <c r="R64" s="51">
        <f ca="1" t="shared" si="64"/>
        <v>0</v>
      </c>
      <c r="S64" s="51">
        <f ca="1" t="shared" si="64"/>
        <v>0</v>
      </c>
      <c r="T64" s="51">
        <f ca="1" t="shared" si="64"/>
        <v>1</v>
      </c>
      <c r="U64" s="51">
        <f ca="1" t="shared" si="64"/>
        <v>24</v>
      </c>
      <c r="V64" s="51">
        <f ca="1" t="shared" si="64"/>
        <v>0</v>
      </c>
      <c r="W64" s="51">
        <f ca="1" t="shared" si="1"/>
        <v>200</v>
      </c>
      <c r="X64" s="51">
        <f>IFERROR(_xlfn.XLOOKUP($B64,社保汇总表!B:B,社保汇总表!G:G),0)</f>
        <v>420.68</v>
      </c>
      <c r="Y64" s="51">
        <f>VLOOKUP($B64,公积金汇总表!$P:$Q,2,0)</f>
        <v>126</v>
      </c>
      <c r="Z64" s="51"/>
      <c r="AA64" s="316" t="str">
        <f ca="1" t="shared" si="4"/>
        <v>全勤</v>
      </c>
      <c r="AB64" s="316">
        <f ca="1" t="shared" si="2"/>
        <v>0</v>
      </c>
    </row>
    <row r="65" s="349" customFormat="1" ht="22" customHeight="1" spans="1:29">
      <c r="A65" s="370">
        <v>63</v>
      </c>
      <c r="B65" s="51" t="s">
        <v>171</v>
      </c>
      <c r="C65" s="370">
        <v>4</v>
      </c>
      <c r="D65" s="370" t="s">
        <v>167</v>
      </c>
      <c r="E65" s="370" t="s">
        <v>141</v>
      </c>
      <c r="F65" s="371">
        <v>45429</v>
      </c>
      <c r="G65" s="51">
        <f ca="1" t="shared" ref="G65:V65" si="65">VLOOKUP($B65,INDIRECT($D65&amp;"!$AG$1:$AY$66"),MATCH(G$1,INDIRECT($D65&amp;"!$AG$1:$AY$1"),0),0)</f>
        <v>26</v>
      </c>
      <c r="H65" s="51">
        <f ca="1" t="shared" si="65"/>
        <v>25</v>
      </c>
      <c r="I65" s="51">
        <f ca="1" t="shared" si="65"/>
        <v>0</v>
      </c>
      <c r="J65" s="51">
        <f ca="1" t="shared" si="65"/>
        <v>0</v>
      </c>
      <c r="K65" s="51">
        <f ca="1" t="shared" si="65"/>
        <v>0</v>
      </c>
      <c r="L65" s="51">
        <f ca="1" t="shared" si="65"/>
        <v>0</v>
      </c>
      <c r="M65" s="51">
        <f ca="1" t="shared" si="65"/>
        <v>0</v>
      </c>
      <c r="N65" s="51">
        <f ca="1" t="shared" si="65"/>
        <v>0</v>
      </c>
      <c r="O65" s="51">
        <f ca="1" t="shared" si="65"/>
        <v>0</v>
      </c>
      <c r="P65" s="51">
        <f ca="1" t="shared" si="65"/>
        <v>0</v>
      </c>
      <c r="Q65" s="51">
        <f ca="1" t="shared" si="65"/>
        <v>0</v>
      </c>
      <c r="R65" s="51">
        <f ca="1" t="shared" si="65"/>
        <v>0</v>
      </c>
      <c r="S65" s="51">
        <f ca="1" t="shared" si="65"/>
        <v>0</v>
      </c>
      <c r="T65" s="51">
        <f ca="1" t="shared" si="65"/>
        <v>1</v>
      </c>
      <c r="U65" s="51">
        <f ca="1" t="shared" si="65"/>
        <v>26</v>
      </c>
      <c r="V65" s="51">
        <f ca="1" t="shared" si="65"/>
        <v>0</v>
      </c>
      <c r="W65" s="51">
        <f ca="1" t="shared" si="1"/>
        <v>200</v>
      </c>
      <c r="X65" s="51"/>
      <c r="Y65" s="51"/>
      <c r="Z65" s="51"/>
      <c r="AA65" s="316" t="str">
        <f ca="1" t="shared" si="4"/>
        <v>全勤</v>
      </c>
      <c r="AB65" s="316">
        <f ca="1" t="shared" si="2"/>
        <v>0</v>
      </c>
    </row>
    <row r="66" s="350" customFormat="1" ht="22" customHeight="1" spans="1:29">
      <c r="A66" s="370">
        <v>64</v>
      </c>
      <c r="B66" s="51" t="s">
        <v>173</v>
      </c>
      <c r="C66" s="370">
        <v>4</v>
      </c>
      <c r="D66" s="370" t="s">
        <v>167</v>
      </c>
      <c r="E66" s="370" t="s">
        <v>141</v>
      </c>
      <c r="F66" s="371">
        <v>45444</v>
      </c>
      <c r="G66" s="51">
        <f ca="1" t="shared" ref="G66:V66" si="66">VLOOKUP($B66,INDIRECT($D66&amp;"!$AG$1:$AY$66"),MATCH(G$1,INDIRECT($D66&amp;"!$AG$1:$AY$1"),0),0)</f>
        <v>26</v>
      </c>
      <c r="H66" s="51">
        <f ca="1" t="shared" si="66"/>
        <v>24</v>
      </c>
      <c r="I66" s="51">
        <f ca="1" t="shared" si="66"/>
        <v>0</v>
      </c>
      <c r="J66" s="51">
        <f ca="1" t="shared" si="66"/>
        <v>0</v>
      </c>
      <c r="K66" s="51">
        <f ca="1" t="shared" si="66"/>
        <v>0</v>
      </c>
      <c r="L66" s="51">
        <f ca="1" t="shared" si="66"/>
        <v>0</v>
      </c>
      <c r="M66" s="51">
        <f ca="1" t="shared" si="66"/>
        <v>1</v>
      </c>
      <c r="N66" s="51">
        <f ca="1" t="shared" si="66"/>
        <v>0</v>
      </c>
      <c r="O66" s="51">
        <f ca="1" t="shared" si="66"/>
        <v>0</v>
      </c>
      <c r="P66" s="51">
        <f ca="1" t="shared" si="66"/>
        <v>0</v>
      </c>
      <c r="Q66" s="51">
        <f ca="1" t="shared" si="66"/>
        <v>0</v>
      </c>
      <c r="R66" s="51">
        <f ca="1" t="shared" si="66"/>
        <v>0</v>
      </c>
      <c r="S66" s="51">
        <f ca="1" t="shared" si="66"/>
        <v>0</v>
      </c>
      <c r="T66" s="51">
        <f ca="1" t="shared" si="66"/>
        <v>1</v>
      </c>
      <c r="U66" s="51">
        <f ca="1" t="shared" si="66"/>
        <v>26</v>
      </c>
      <c r="V66" s="51">
        <f ca="1" t="shared" si="66"/>
        <v>0</v>
      </c>
      <c r="W66" s="51">
        <f ca="1" t="shared" si="1"/>
        <v>200</v>
      </c>
      <c r="X66" s="51"/>
      <c r="Y66" s="51"/>
      <c r="Z66" s="51"/>
      <c r="AA66" s="316" t="str">
        <f ca="1" t="shared" si="4"/>
        <v>全勤，年假 7小时(04/13 09:00-04/13 18:00)</v>
      </c>
      <c r="AB66" s="316">
        <f ca="1" t="shared" si="2"/>
        <v>0</v>
      </c>
      <c r="AC66" s="349"/>
    </row>
    <row r="67" s="351" customFormat="1" ht="22" customHeight="1" spans="1:29">
      <c r="A67" s="370">
        <v>65</v>
      </c>
      <c r="B67" s="51" t="s">
        <v>175</v>
      </c>
      <c r="C67" s="370">
        <v>4</v>
      </c>
      <c r="D67" s="370" t="s">
        <v>167</v>
      </c>
      <c r="E67" s="370" t="s">
        <v>141</v>
      </c>
      <c r="F67" s="371">
        <v>45423</v>
      </c>
      <c r="G67" s="51">
        <f ca="1" t="shared" ref="G67:V67" si="67">VLOOKUP($B67,INDIRECT($D67&amp;"!$AG$1:$AY$66"),MATCH(G$1,INDIRECT($D67&amp;"!$AG$1:$AY$1"),0),0)</f>
        <v>26</v>
      </c>
      <c r="H67" s="51">
        <f ca="1" t="shared" si="67"/>
        <v>23.57</v>
      </c>
      <c r="I67" s="51">
        <f ca="1" t="shared" si="67"/>
        <v>0</v>
      </c>
      <c r="J67" s="51">
        <f ca="1" t="shared" si="67"/>
        <v>0</v>
      </c>
      <c r="K67" s="51">
        <f ca="1" t="shared" si="67"/>
        <v>0</v>
      </c>
      <c r="L67" s="51">
        <f ca="1" t="shared" si="67"/>
        <v>0</v>
      </c>
      <c r="M67" s="51">
        <f ca="1" t="shared" si="67"/>
        <v>1.43</v>
      </c>
      <c r="N67" s="51">
        <f ca="1" t="shared" si="67"/>
        <v>0</v>
      </c>
      <c r="O67" s="51">
        <f ca="1" t="shared" si="67"/>
        <v>0</v>
      </c>
      <c r="P67" s="51">
        <f ca="1" t="shared" si="67"/>
        <v>0</v>
      </c>
      <c r="Q67" s="51">
        <f ca="1" t="shared" si="67"/>
        <v>0</v>
      </c>
      <c r="R67" s="51">
        <f ca="1" t="shared" si="67"/>
        <v>0</v>
      </c>
      <c r="S67" s="51">
        <f ca="1" t="shared" si="67"/>
        <v>0</v>
      </c>
      <c r="T67" s="51">
        <f ca="1" t="shared" si="67"/>
        <v>1</v>
      </c>
      <c r="U67" s="51">
        <f ca="1" t="shared" si="67"/>
        <v>26</v>
      </c>
      <c r="V67" s="51">
        <f ca="1" t="shared" si="67"/>
        <v>0</v>
      </c>
      <c r="W67" s="51">
        <f ca="1" t="shared" ref="W67:W99" si="68">VLOOKUP($B67,INDIRECT($D67&amp;"!$AG$1:$AY$66"),MATCH(W$2,INDIRECT($D67&amp;"!$AG$1:$AY$1"),0),0)</f>
        <v>200</v>
      </c>
      <c r="X67" s="51"/>
      <c r="Y67" s="51"/>
      <c r="Z67" s="51"/>
      <c r="AA67" s="316" t="str">
        <f ca="1" t="shared" si="4"/>
        <v>全勤，年假 7小时(04/13 09:00-04/13 18:00);年假 3小时(04/22 09:00-04/22 12:00)</v>
      </c>
      <c r="AB67" s="316">
        <f ca="1" t="shared" ref="AB67:AB99" si="69">VLOOKUP($B67,INDIRECT($D67&amp;"!$AG$1:$AZ$66"),MATCH(AB$1,INDIRECT($D67&amp;"!$AG$1:$AZ$1"),0),0)</f>
        <v>0</v>
      </c>
      <c r="AC67" s="349"/>
    </row>
    <row r="68" s="351" customFormat="1" ht="22" customHeight="1" spans="1:29">
      <c r="A68" s="370">
        <v>66</v>
      </c>
      <c r="B68" s="285" t="s">
        <v>177</v>
      </c>
      <c r="C68" s="370">
        <v>4</v>
      </c>
      <c r="D68" s="370" t="s">
        <v>167</v>
      </c>
      <c r="E68" s="370" t="s">
        <v>141</v>
      </c>
      <c r="F68" s="371">
        <v>45999</v>
      </c>
      <c r="G68" s="51">
        <f ca="1" t="shared" ref="G68:V68" si="70">VLOOKUP($B68,INDIRECT($D68&amp;"!$AG$1:$AY$66"),MATCH(G$1,INDIRECT($D68&amp;"!$AG$1:$AY$1"),0),0)</f>
        <v>26</v>
      </c>
      <c r="H68" s="51">
        <f ca="1" t="shared" si="70"/>
        <v>24</v>
      </c>
      <c r="I68" s="51">
        <f ca="1" t="shared" si="70"/>
        <v>0</v>
      </c>
      <c r="J68" s="51">
        <f ca="1" t="shared" si="70"/>
        <v>0</v>
      </c>
      <c r="K68" s="51">
        <f ca="1" t="shared" si="70"/>
        <v>0</v>
      </c>
      <c r="L68" s="51">
        <f ca="1" t="shared" si="70"/>
        <v>1</v>
      </c>
      <c r="M68" s="51">
        <f ca="1" t="shared" si="70"/>
        <v>0</v>
      </c>
      <c r="N68" s="51">
        <f ca="1" t="shared" si="70"/>
        <v>0</v>
      </c>
      <c r="O68" s="51">
        <f ca="1" t="shared" si="70"/>
        <v>0</v>
      </c>
      <c r="P68" s="51">
        <f ca="1" t="shared" si="70"/>
        <v>0</v>
      </c>
      <c r="Q68" s="51">
        <f ca="1" t="shared" si="70"/>
        <v>0</v>
      </c>
      <c r="R68" s="51">
        <f ca="1" t="shared" si="70"/>
        <v>0</v>
      </c>
      <c r="S68" s="51">
        <f ca="1" t="shared" si="70"/>
        <v>0</v>
      </c>
      <c r="T68" s="51">
        <f ca="1" t="shared" si="70"/>
        <v>1</v>
      </c>
      <c r="U68" s="51">
        <f ca="1" t="shared" si="70"/>
        <v>25</v>
      </c>
      <c r="V68" s="51">
        <f ca="1" t="shared" si="70"/>
        <v>0</v>
      </c>
      <c r="W68" s="51">
        <f ca="1" t="shared" si="68"/>
        <v>0</v>
      </c>
      <c r="X68" s="51"/>
      <c r="Y68" s="51"/>
      <c r="Z68" s="51"/>
      <c r="AA68" s="316" t="str">
        <f ca="1" t="shared" ref="AA68:AA99" si="71">VLOOKUP($B68,INDIRECT($D68&amp;"!$AG$1:$AY$66"),MATCH(AA$1,INDIRECT($D68&amp;"!$AG$1:$AY$1"),0),0)</f>
        <v>事假 7小时(04/20 09:00-04/20 18:00)</v>
      </c>
      <c r="AB68" s="316">
        <f ca="1" t="shared" si="69"/>
        <v>0</v>
      </c>
      <c r="AC68" s="349"/>
    </row>
    <row r="69" s="351" customFormat="1" ht="22" customHeight="1" spans="1:29">
      <c r="A69" s="370">
        <v>67</v>
      </c>
      <c r="B69" s="51" t="s">
        <v>179</v>
      </c>
      <c r="C69" s="370">
        <v>4</v>
      </c>
      <c r="D69" s="370" t="s">
        <v>27</v>
      </c>
      <c r="E69" s="370" t="s">
        <v>141</v>
      </c>
      <c r="F69" s="371"/>
      <c r="G69" s="51">
        <f ca="1" t="shared" ref="G69:V69" si="72">VLOOKUP($B69,INDIRECT($D69&amp;"!$AG$1:$AY$66"),MATCH(G$1,INDIRECT($D69&amp;"!$AG$1:$AY$1"),0),0)</f>
        <v>24</v>
      </c>
      <c r="H69" s="51">
        <f ca="1" t="shared" si="72"/>
        <v>23</v>
      </c>
      <c r="I69" s="51">
        <f ca="1" t="shared" si="72"/>
        <v>0</v>
      </c>
      <c r="J69" s="51">
        <f ca="1" t="shared" si="72"/>
        <v>0</v>
      </c>
      <c r="K69" s="51">
        <f ca="1" t="shared" si="72"/>
        <v>0</v>
      </c>
      <c r="L69" s="51">
        <f ca="1" t="shared" si="72"/>
        <v>0</v>
      </c>
      <c r="M69" s="51">
        <f ca="1" t="shared" si="72"/>
        <v>0</v>
      </c>
      <c r="N69" s="51">
        <f ca="1" t="shared" si="72"/>
        <v>0</v>
      </c>
      <c r="O69" s="51">
        <f ca="1" t="shared" si="72"/>
        <v>0</v>
      </c>
      <c r="P69" s="51">
        <f ca="1" t="shared" si="72"/>
        <v>0</v>
      </c>
      <c r="Q69" s="51">
        <f ca="1" t="shared" si="72"/>
        <v>0</v>
      </c>
      <c r="R69" s="51">
        <f ca="1" t="shared" si="72"/>
        <v>0</v>
      </c>
      <c r="S69" s="51">
        <f ca="1" t="shared" si="72"/>
        <v>0</v>
      </c>
      <c r="T69" s="51">
        <f ca="1" t="shared" si="72"/>
        <v>1</v>
      </c>
      <c r="U69" s="51">
        <f ca="1" t="shared" si="72"/>
        <v>24</v>
      </c>
      <c r="V69" s="51">
        <f ca="1" t="shared" si="72"/>
        <v>0</v>
      </c>
      <c r="W69" s="51">
        <f ca="1" t="shared" si="68"/>
        <v>200</v>
      </c>
      <c r="X69" s="51">
        <f>IFERROR(_xlfn.XLOOKUP($B69,社保汇总表!B:B,社保汇总表!G:G),0)</f>
        <v>420.68</v>
      </c>
      <c r="Y69" s="51">
        <f>VLOOKUP($B69,公积金汇总表!$P:$Q,2,0)</f>
        <v>126</v>
      </c>
      <c r="Z69" s="51"/>
      <c r="AA69" s="316" t="str">
        <f ca="1" t="shared" si="71"/>
        <v>全勤</v>
      </c>
      <c r="AB69" s="316">
        <f ca="1" t="shared" si="69"/>
        <v>0</v>
      </c>
      <c r="AC69" s="349"/>
    </row>
    <row r="70" s="351" customFormat="1" ht="22" customHeight="1" spans="1:29">
      <c r="A70" s="370">
        <v>68</v>
      </c>
      <c r="B70" s="51" t="s">
        <v>181</v>
      </c>
      <c r="C70" s="370">
        <v>4</v>
      </c>
      <c r="D70" s="370" t="s">
        <v>27</v>
      </c>
      <c r="E70" s="370" t="s">
        <v>141</v>
      </c>
      <c r="F70" s="371"/>
      <c r="G70" s="51">
        <f ca="1" t="shared" ref="G70:V70" si="73">VLOOKUP($B70,INDIRECT($D70&amp;"!$AG$1:$AY$66"),MATCH(G$1,INDIRECT($D70&amp;"!$AG$1:$AY$1"),0),0)</f>
        <v>24</v>
      </c>
      <c r="H70" s="51">
        <f ca="1" t="shared" si="73"/>
        <v>23</v>
      </c>
      <c r="I70" s="51">
        <f ca="1" t="shared" si="73"/>
        <v>0</v>
      </c>
      <c r="J70" s="51">
        <f ca="1" t="shared" si="73"/>
        <v>0</v>
      </c>
      <c r="K70" s="51">
        <f ca="1" t="shared" si="73"/>
        <v>0</v>
      </c>
      <c r="L70" s="51">
        <f ca="1" t="shared" si="73"/>
        <v>0</v>
      </c>
      <c r="M70" s="51">
        <f ca="1" t="shared" si="73"/>
        <v>0</v>
      </c>
      <c r="N70" s="51">
        <f ca="1" t="shared" si="73"/>
        <v>0</v>
      </c>
      <c r="O70" s="51">
        <f ca="1" t="shared" si="73"/>
        <v>0</v>
      </c>
      <c r="P70" s="51">
        <f ca="1" t="shared" si="73"/>
        <v>0</v>
      </c>
      <c r="Q70" s="51">
        <f ca="1" t="shared" si="73"/>
        <v>0</v>
      </c>
      <c r="R70" s="51">
        <f ca="1" t="shared" si="73"/>
        <v>0</v>
      </c>
      <c r="S70" s="51">
        <f ca="1" t="shared" si="73"/>
        <v>0</v>
      </c>
      <c r="T70" s="51">
        <f ca="1" t="shared" si="73"/>
        <v>1</v>
      </c>
      <c r="U70" s="51">
        <f ca="1" t="shared" si="73"/>
        <v>24</v>
      </c>
      <c r="V70" s="51">
        <f ca="1" t="shared" si="73"/>
        <v>0</v>
      </c>
      <c r="W70" s="51">
        <f ca="1" t="shared" si="68"/>
        <v>200</v>
      </c>
      <c r="X70" s="51">
        <f>IFERROR(_xlfn.XLOOKUP($B70,社保汇总表!B:B,社保汇总表!G:G),0)</f>
        <v>420.68</v>
      </c>
      <c r="Y70" s="51">
        <f>VLOOKUP($B70,公积金汇总表!$P:$Q,2,0)</f>
        <v>126</v>
      </c>
      <c r="Z70" s="51"/>
      <c r="AA70" s="316" t="str">
        <f ca="1" t="shared" si="71"/>
        <v>全勤</v>
      </c>
      <c r="AB70" s="316">
        <f ca="1" t="shared" si="69"/>
        <v>0</v>
      </c>
      <c r="AC70" s="349"/>
    </row>
    <row r="71" s="349" customFormat="1" ht="22" customHeight="1" spans="1:29">
      <c r="A71" s="370">
        <v>69</v>
      </c>
      <c r="B71" s="285" t="s">
        <v>183</v>
      </c>
      <c r="C71" s="370">
        <v>4</v>
      </c>
      <c r="D71" s="370" t="s">
        <v>167</v>
      </c>
      <c r="E71" s="298" t="s">
        <v>119</v>
      </c>
      <c r="F71" s="371">
        <v>45536</v>
      </c>
      <c r="G71" s="51">
        <f ca="1" t="shared" ref="G71:V71" si="74">VLOOKUP($B71,INDIRECT($D71&amp;"!$AG$1:$AY$66"),MATCH(G$1,INDIRECT($D71&amp;"!$AG$1:$AY$1"),0),0)</f>
        <v>26</v>
      </c>
      <c r="H71" s="51">
        <f ca="1" t="shared" si="74"/>
        <v>19</v>
      </c>
      <c r="I71" s="51">
        <f ca="1" t="shared" si="74"/>
        <v>0</v>
      </c>
      <c r="J71" s="51">
        <f ca="1" t="shared" si="74"/>
        <v>0</v>
      </c>
      <c r="K71" s="51">
        <f ca="1" t="shared" si="74"/>
        <v>0</v>
      </c>
      <c r="L71" s="51">
        <f ca="1" t="shared" si="74"/>
        <v>6</v>
      </c>
      <c r="M71" s="51">
        <f ca="1" t="shared" si="74"/>
        <v>0</v>
      </c>
      <c r="N71" s="51">
        <f ca="1" t="shared" si="74"/>
        <v>0</v>
      </c>
      <c r="O71" s="51">
        <f ca="1" t="shared" si="74"/>
        <v>0</v>
      </c>
      <c r="P71" s="51">
        <f ca="1" t="shared" si="74"/>
        <v>0</v>
      </c>
      <c r="Q71" s="51">
        <f ca="1" t="shared" si="74"/>
        <v>0</v>
      </c>
      <c r="R71" s="51">
        <f ca="1" t="shared" si="74"/>
        <v>0</v>
      </c>
      <c r="S71" s="51">
        <f ca="1" t="shared" si="74"/>
        <v>0</v>
      </c>
      <c r="T71" s="51">
        <f ca="1" t="shared" si="74"/>
        <v>1</v>
      </c>
      <c r="U71" s="51">
        <f ca="1" t="shared" si="74"/>
        <v>20</v>
      </c>
      <c r="V71" s="51">
        <f ca="1" t="shared" si="74"/>
        <v>0</v>
      </c>
      <c r="W71" s="51">
        <f ca="1" t="shared" si="68"/>
        <v>0</v>
      </c>
      <c r="X71" s="51"/>
      <c r="Y71" s="51"/>
      <c r="Z71" s="51"/>
      <c r="AA71" s="316" t="str">
        <f ca="1" t="shared" si="71"/>
        <v>事假 14小时(04/11 09:00-04/13 18:00);事假 28小时(04/14 09:00-04/17 18:00)</v>
      </c>
      <c r="AB71" s="316">
        <f ca="1" t="shared" si="69"/>
        <v>0</v>
      </c>
    </row>
    <row r="72" s="349" customFormat="1" ht="22" customHeight="1" spans="1:29">
      <c r="A72" s="370">
        <v>70</v>
      </c>
      <c r="B72" s="370" t="s">
        <v>185</v>
      </c>
      <c r="C72" s="370">
        <v>4</v>
      </c>
      <c r="D72" s="370" t="s">
        <v>167</v>
      </c>
      <c r="E72" s="298" t="s">
        <v>119</v>
      </c>
      <c r="F72" s="371">
        <v>45595</v>
      </c>
      <c r="G72" s="51">
        <f ca="1" t="shared" ref="G72:V72" si="75">VLOOKUP($B72,INDIRECT($D72&amp;"!$AG$1:$AY$66"),MATCH(G$1,INDIRECT($D72&amp;"!$AG$1:$AY$1"),0),0)</f>
        <v>26</v>
      </c>
      <c r="H72" s="51">
        <f ca="1" t="shared" si="75"/>
        <v>25</v>
      </c>
      <c r="I72" s="51">
        <f ca="1" t="shared" si="75"/>
        <v>0</v>
      </c>
      <c r="J72" s="51">
        <f ca="1" t="shared" si="75"/>
        <v>0</v>
      </c>
      <c r="K72" s="51">
        <f ca="1" t="shared" si="75"/>
        <v>0</v>
      </c>
      <c r="L72" s="51">
        <f ca="1" t="shared" si="75"/>
        <v>0</v>
      </c>
      <c r="M72" s="51">
        <f ca="1" t="shared" si="75"/>
        <v>0</v>
      </c>
      <c r="N72" s="51">
        <f ca="1" t="shared" si="75"/>
        <v>0</v>
      </c>
      <c r="O72" s="51">
        <f ca="1" t="shared" si="75"/>
        <v>0</v>
      </c>
      <c r="P72" s="51">
        <f ca="1" t="shared" si="75"/>
        <v>0</v>
      </c>
      <c r="Q72" s="51">
        <f ca="1" t="shared" si="75"/>
        <v>0</v>
      </c>
      <c r="R72" s="51">
        <f ca="1" t="shared" si="75"/>
        <v>0</v>
      </c>
      <c r="S72" s="51">
        <f ca="1" t="shared" si="75"/>
        <v>0</v>
      </c>
      <c r="T72" s="51">
        <f ca="1" t="shared" si="75"/>
        <v>1</v>
      </c>
      <c r="U72" s="51">
        <f ca="1" t="shared" si="75"/>
        <v>26</v>
      </c>
      <c r="V72" s="51">
        <f ca="1" t="shared" si="75"/>
        <v>0</v>
      </c>
      <c r="W72" s="51">
        <f ca="1" t="shared" si="68"/>
        <v>200</v>
      </c>
      <c r="X72" s="51"/>
      <c r="Y72" s="51"/>
      <c r="Z72" s="51"/>
      <c r="AA72" s="316" t="str">
        <f ca="1" t="shared" si="71"/>
        <v>全勤</v>
      </c>
      <c r="AB72" s="316">
        <f ca="1" t="shared" si="69"/>
        <v>0</v>
      </c>
    </row>
    <row r="73" s="349" customFormat="1" ht="22" customHeight="1" spans="1:29">
      <c r="A73" s="370">
        <v>71</v>
      </c>
      <c r="B73" s="51" t="s">
        <v>187</v>
      </c>
      <c r="C73" s="370">
        <v>4</v>
      </c>
      <c r="D73" s="370" t="s">
        <v>167</v>
      </c>
      <c r="E73" s="298" t="s">
        <v>119</v>
      </c>
      <c r="F73" s="371"/>
      <c r="G73" s="51">
        <f ca="1" t="shared" ref="G73:V73" si="76">VLOOKUP($B73,INDIRECT($D73&amp;"!$AG$1:$AY$66"),MATCH(G$1,INDIRECT($D73&amp;"!$AG$1:$AY$1"),0),0)</f>
        <v>26</v>
      </c>
      <c r="H73" s="51">
        <f ca="1" t="shared" si="76"/>
        <v>25</v>
      </c>
      <c r="I73" s="51">
        <f ca="1" t="shared" si="76"/>
        <v>0</v>
      </c>
      <c r="J73" s="51">
        <f ca="1" t="shared" si="76"/>
        <v>0</v>
      </c>
      <c r="K73" s="51">
        <f ca="1" t="shared" si="76"/>
        <v>0</v>
      </c>
      <c r="L73" s="51">
        <f ca="1" t="shared" si="76"/>
        <v>0</v>
      </c>
      <c r="M73" s="51">
        <f ca="1" t="shared" si="76"/>
        <v>0</v>
      </c>
      <c r="N73" s="51">
        <f ca="1" t="shared" si="76"/>
        <v>0</v>
      </c>
      <c r="O73" s="51">
        <f ca="1" t="shared" si="76"/>
        <v>0</v>
      </c>
      <c r="P73" s="51">
        <f ca="1" t="shared" si="76"/>
        <v>0</v>
      </c>
      <c r="Q73" s="51">
        <f ca="1" t="shared" si="76"/>
        <v>0</v>
      </c>
      <c r="R73" s="51">
        <f ca="1" t="shared" si="76"/>
        <v>0</v>
      </c>
      <c r="S73" s="51">
        <f ca="1" t="shared" si="76"/>
        <v>0</v>
      </c>
      <c r="T73" s="51">
        <f ca="1" t="shared" si="76"/>
        <v>1</v>
      </c>
      <c r="U73" s="51">
        <f ca="1" t="shared" si="76"/>
        <v>26</v>
      </c>
      <c r="V73" s="51">
        <f ca="1" t="shared" si="76"/>
        <v>0</v>
      </c>
      <c r="W73" s="51">
        <f ca="1" t="shared" si="68"/>
        <v>200</v>
      </c>
      <c r="X73" s="51"/>
      <c r="Y73" s="51"/>
      <c r="Z73" s="51"/>
      <c r="AA73" s="316" t="str">
        <f ca="1" t="shared" si="71"/>
        <v>全勤</v>
      </c>
      <c r="AB73" s="316">
        <f ca="1" t="shared" si="69"/>
        <v>0</v>
      </c>
    </row>
    <row r="74" s="349" customFormat="1" ht="22" customHeight="1" spans="1:29">
      <c r="A74" s="370">
        <v>72</v>
      </c>
      <c r="B74" s="51" t="s">
        <v>189</v>
      </c>
      <c r="C74" s="370">
        <v>4</v>
      </c>
      <c r="D74" s="370" t="s">
        <v>167</v>
      </c>
      <c r="E74" s="298" t="s">
        <v>119</v>
      </c>
      <c r="F74" s="371"/>
      <c r="G74" s="51">
        <f ca="1" t="shared" ref="G74:V74" si="77">VLOOKUP($B74,INDIRECT($D74&amp;"!$AG$1:$AY$66"),MATCH(G$1,INDIRECT($D74&amp;"!$AG$1:$AY$1"),0),0)</f>
        <v>26</v>
      </c>
      <c r="H74" s="51">
        <f ca="1" t="shared" si="77"/>
        <v>25</v>
      </c>
      <c r="I74" s="51">
        <f ca="1" t="shared" si="77"/>
        <v>46</v>
      </c>
      <c r="J74" s="51">
        <f ca="1" t="shared" si="77"/>
        <v>0</v>
      </c>
      <c r="K74" s="51">
        <f ca="1" t="shared" si="77"/>
        <v>0</v>
      </c>
      <c r="L74" s="51">
        <f ca="1" t="shared" si="77"/>
        <v>0</v>
      </c>
      <c r="M74" s="51">
        <f ca="1" t="shared" si="77"/>
        <v>0</v>
      </c>
      <c r="N74" s="51">
        <f ca="1" t="shared" si="77"/>
        <v>0</v>
      </c>
      <c r="O74" s="51">
        <f ca="1" t="shared" si="77"/>
        <v>0</v>
      </c>
      <c r="P74" s="51">
        <f ca="1" t="shared" si="77"/>
        <v>0</v>
      </c>
      <c r="Q74" s="51">
        <f ca="1" t="shared" si="77"/>
        <v>0</v>
      </c>
      <c r="R74" s="51">
        <f ca="1" t="shared" si="77"/>
        <v>0</v>
      </c>
      <c r="S74" s="51">
        <f ca="1" t="shared" si="77"/>
        <v>0</v>
      </c>
      <c r="T74" s="51">
        <f ca="1" t="shared" si="77"/>
        <v>1</v>
      </c>
      <c r="U74" s="51">
        <f ca="1" t="shared" si="77"/>
        <v>26</v>
      </c>
      <c r="V74" s="51">
        <f ca="1" t="shared" si="77"/>
        <v>50</v>
      </c>
      <c r="W74" s="51">
        <f ca="1" t="shared" si="68"/>
        <v>0</v>
      </c>
      <c r="X74" s="51"/>
      <c r="Y74" s="51"/>
      <c r="Z74" s="51"/>
      <c r="AA74" s="316" t="str">
        <f ca="1" t="shared" si="71"/>
        <v>迟到6次共46分钟，按人力行政制度一个月内迟到累计30-60分钟（包含60），乐捐50元。</v>
      </c>
      <c r="AB74" s="316">
        <f ca="1" t="shared" si="69"/>
        <v>0</v>
      </c>
    </row>
    <row r="75" s="349" customFormat="1" ht="22" customHeight="1" spans="1:29">
      <c r="A75" s="370">
        <v>73</v>
      </c>
      <c r="B75" s="51" t="s">
        <v>191</v>
      </c>
      <c r="C75" s="370">
        <v>4</v>
      </c>
      <c r="D75" s="370" t="s">
        <v>167</v>
      </c>
      <c r="E75" s="298" t="s">
        <v>141</v>
      </c>
      <c r="F75" s="371"/>
      <c r="G75" s="51">
        <f ca="1" t="shared" ref="G75:V75" si="78">VLOOKUP($B75,INDIRECT($D75&amp;"!$AG$1:$AY$66"),MATCH(G$1,INDIRECT($D75&amp;"!$AG$1:$AY$1"),0),0)</f>
        <v>26</v>
      </c>
      <c r="H75" s="51">
        <f ca="1" t="shared" si="78"/>
        <v>25</v>
      </c>
      <c r="I75" s="51">
        <f ca="1" t="shared" si="78"/>
        <v>0</v>
      </c>
      <c r="J75" s="51">
        <f ca="1" t="shared" si="78"/>
        <v>0</v>
      </c>
      <c r="K75" s="51">
        <f ca="1" t="shared" si="78"/>
        <v>0</v>
      </c>
      <c r="L75" s="51">
        <f ca="1" t="shared" si="78"/>
        <v>0</v>
      </c>
      <c r="M75" s="51">
        <f ca="1" t="shared" si="78"/>
        <v>0</v>
      </c>
      <c r="N75" s="51">
        <f ca="1" t="shared" si="78"/>
        <v>0</v>
      </c>
      <c r="O75" s="51">
        <f ca="1" t="shared" si="78"/>
        <v>0</v>
      </c>
      <c r="P75" s="51">
        <f ca="1" t="shared" si="78"/>
        <v>0</v>
      </c>
      <c r="Q75" s="51">
        <f ca="1" t="shared" si="78"/>
        <v>0</v>
      </c>
      <c r="R75" s="51">
        <f ca="1" t="shared" si="78"/>
        <v>0</v>
      </c>
      <c r="S75" s="51">
        <f ca="1" t="shared" si="78"/>
        <v>0</v>
      </c>
      <c r="T75" s="51">
        <f ca="1" t="shared" si="78"/>
        <v>1</v>
      </c>
      <c r="U75" s="51">
        <f ca="1" t="shared" si="78"/>
        <v>26</v>
      </c>
      <c r="V75" s="51">
        <f ca="1" t="shared" si="78"/>
        <v>0</v>
      </c>
      <c r="W75" s="51">
        <f ca="1" t="shared" si="68"/>
        <v>200</v>
      </c>
      <c r="X75" s="51"/>
      <c r="Y75" s="51"/>
      <c r="Z75" s="51"/>
      <c r="AA75" s="316" t="str">
        <f ca="1" t="shared" si="71"/>
        <v>全勤，外出 0.5天(04/22 下午-04/22 下午)</v>
      </c>
      <c r="AB75" s="316">
        <f ca="1" t="shared" si="69"/>
        <v>0</v>
      </c>
    </row>
    <row r="76" s="349" customFormat="1" ht="22" customHeight="1" spans="1:29">
      <c r="A76" s="370">
        <v>74</v>
      </c>
      <c r="B76" s="51" t="s">
        <v>193</v>
      </c>
      <c r="C76" s="370">
        <v>4</v>
      </c>
      <c r="D76" s="370" t="s">
        <v>194</v>
      </c>
      <c r="E76" s="370" t="s">
        <v>195</v>
      </c>
      <c r="F76" s="371">
        <v>44109</v>
      </c>
      <c r="G76" s="51">
        <f ca="1" t="shared" ref="G76:V76" si="79">VLOOKUP($B76,INDIRECT($D76&amp;"!$AG$1:$AY$66"),MATCH(G$1,INDIRECT($D76&amp;"!$AG$1:$AY$1"),0),0)</f>
        <v>24</v>
      </c>
      <c r="H76" s="51">
        <f ca="1" t="shared" si="79"/>
        <v>23</v>
      </c>
      <c r="I76" s="51">
        <f ca="1" t="shared" si="79"/>
        <v>0</v>
      </c>
      <c r="J76" s="51">
        <f ca="1" t="shared" si="79"/>
        <v>0</v>
      </c>
      <c r="K76" s="51">
        <f ca="1" t="shared" si="79"/>
        <v>0</v>
      </c>
      <c r="L76" s="51">
        <f ca="1" t="shared" si="79"/>
        <v>0</v>
      </c>
      <c r="M76" s="51">
        <f ca="1" t="shared" si="79"/>
        <v>0</v>
      </c>
      <c r="N76" s="51">
        <f ca="1" t="shared" si="79"/>
        <v>0</v>
      </c>
      <c r="O76" s="51">
        <f ca="1" t="shared" si="79"/>
        <v>0</v>
      </c>
      <c r="P76" s="51">
        <f ca="1" t="shared" si="79"/>
        <v>0</v>
      </c>
      <c r="Q76" s="51">
        <f ca="1" t="shared" si="79"/>
        <v>0</v>
      </c>
      <c r="R76" s="51">
        <f ca="1" t="shared" si="79"/>
        <v>0</v>
      </c>
      <c r="S76" s="51">
        <f ca="1" t="shared" si="79"/>
        <v>0</v>
      </c>
      <c r="T76" s="51">
        <f ca="1" t="shared" si="79"/>
        <v>1</v>
      </c>
      <c r="U76" s="51">
        <f ca="1" t="shared" si="79"/>
        <v>24</v>
      </c>
      <c r="V76" s="51">
        <f ca="1" t="shared" si="79"/>
        <v>0</v>
      </c>
      <c r="W76" s="51">
        <f ca="1" t="shared" si="68"/>
        <v>200</v>
      </c>
      <c r="X76" s="51">
        <f>IFERROR(_xlfn.XLOOKUP($B76,社保汇总表!E:E,社保汇总表!R:R),0)</f>
        <v>434.42</v>
      </c>
      <c r="Y76" s="51">
        <f>VLOOKUP($B76,公积金汇总表!$P:$Q,2,0)</f>
        <v>110</v>
      </c>
      <c r="Z76" s="51"/>
      <c r="AA76" s="316" t="str">
        <f ca="1" t="shared" si="71"/>
        <v>全勤</v>
      </c>
      <c r="AB76" s="316">
        <f ca="1" t="shared" si="69"/>
        <v>1.5</v>
      </c>
    </row>
    <row r="77" s="349" customFormat="1" ht="22" customHeight="1" spans="1:29">
      <c r="A77" s="370">
        <v>75</v>
      </c>
      <c r="B77" s="51" t="s">
        <v>197</v>
      </c>
      <c r="C77" s="370">
        <v>4</v>
      </c>
      <c r="D77" s="370" t="s">
        <v>194</v>
      </c>
      <c r="E77" s="370" t="s">
        <v>195</v>
      </c>
      <c r="F77" s="371">
        <v>42167</v>
      </c>
      <c r="G77" s="51">
        <f ca="1" t="shared" ref="G77:V77" si="80">VLOOKUP($B77,INDIRECT($D77&amp;"!$AG$1:$AY$66"),MATCH(G$1,INDIRECT($D77&amp;"!$AG$1:$AY$1"),0),0)</f>
        <v>24</v>
      </c>
      <c r="H77" s="51">
        <f ca="1" t="shared" si="80"/>
        <v>21.44</v>
      </c>
      <c r="I77" s="51">
        <f ca="1" t="shared" si="80"/>
        <v>0</v>
      </c>
      <c r="J77" s="51">
        <f ca="1" t="shared" si="80"/>
        <v>0</v>
      </c>
      <c r="K77" s="51">
        <f ca="1" t="shared" si="80"/>
        <v>0</v>
      </c>
      <c r="L77" s="51">
        <f ca="1" t="shared" si="80"/>
        <v>0</v>
      </c>
      <c r="M77" s="51">
        <f ca="1" t="shared" si="80"/>
        <v>1.56</v>
      </c>
      <c r="N77" s="51">
        <f ca="1" t="shared" si="80"/>
        <v>0</v>
      </c>
      <c r="O77" s="51">
        <f ca="1" t="shared" si="80"/>
        <v>0</v>
      </c>
      <c r="P77" s="51">
        <f ca="1" t="shared" si="80"/>
        <v>0</v>
      </c>
      <c r="Q77" s="51">
        <f ca="1" t="shared" si="80"/>
        <v>0</v>
      </c>
      <c r="R77" s="51">
        <f ca="1" t="shared" si="80"/>
        <v>0</v>
      </c>
      <c r="S77" s="51">
        <f ca="1" t="shared" si="80"/>
        <v>0</v>
      </c>
      <c r="T77" s="51">
        <f ca="1" t="shared" si="80"/>
        <v>1</v>
      </c>
      <c r="U77" s="51">
        <f ca="1" t="shared" si="80"/>
        <v>24</v>
      </c>
      <c r="V77" s="51">
        <f ca="1" t="shared" si="80"/>
        <v>0</v>
      </c>
      <c r="W77" s="51">
        <f ca="1" t="shared" si="68"/>
        <v>200</v>
      </c>
      <c r="X77" s="51">
        <f>IFERROR(_xlfn.XLOOKUP($B77,社保汇总表!E:E,社保汇总表!R:R),0)</f>
        <v>434.42</v>
      </c>
      <c r="Y77" s="51">
        <f>VLOOKUP($B77,公积金汇总表!$P:$Q,2,0)</f>
        <v>110</v>
      </c>
      <c r="Z77" s="51"/>
      <c r="AA77" s="316" t="str">
        <f ca="1" t="shared" si="71"/>
        <v>全勤，年假 4.5小时(04/18 14:00-04/18 18:30);年假 8小时(04/23 09:00-04/23 18:30)</v>
      </c>
      <c r="AB77" s="316">
        <f ca="1" t="shared" si="69"/>
        <v>0.5</v>
      </c>
    </row>
    <row r="78" s="349" customFormat="1" ht="22" customHeight="1" spans="1:29">
      <c r="A78" s="370">
        <v>76</v>
      </c>
      <c r="B78" s="51" t="s">
        <v>199</v>
      </c>
      <c r="C78" s="370">
        <v>4</v>
      </c>
      <c r="D78" s="370" t="s">
        <v>194</v>
      </c>
      <c r="E78" s="370" t="s">
        <v>195</v>
      </c>
      <c r="F78" s="371">
        <v>44587</v>
      </c>
      <c r="G78" s="51">
        <f ca="1" t="shared" ref="G78:V78" si="81">VLOOKUP($B78,INDIRECT($D78&amp;"!$AG$1:$AY$66"),MATCH(G$1,INDIRECT($D78&amp;"!$AG$1:$AY$1"),0),0)</f>
        <v>24</v>
      </c>
      <c r="H78" s="51">
        <f ca="1" t="shared" si="81"/>
        <v>22</v>
      </c>
      <c r="I78" s="51">
        <f ca="1" t="shared" si="81"/>
        <v>0</v>
      </c>
      <c r="J78" s="51">
        <f ca="1" t="shared" si="81"/>
        <v>0</v>
      </c>
      <c r="K78" s="51">
        <f ca="1" t="shared" si="81"/>
        <v>0</v>
      </c>
      <c r="L78" s="51">
        <f ca="1" t="shared" si="81"/>
        <v>0</v>
      </c>
      <c r="M78" s="51">
        <f ca="1" t="shared" si="81"/>
        <v>1</v>
      </c>
      <c r="N78" s="51">
        <f ca="1" t="shared" si="81"/>
        <v>0</v>
      </c>
      <c r="O78" s="51">
        <f ca="1" t="shared" si="81"/>
        <v>0</v>
      </c>
      <c r="P78" s="51">
        <f ca="1" t="shared" si="81"/>
        <v>0</v>
      </c>
      <c r="Q78" s="51">
        <f ca="1" t="shared" si="81"/>
        <v>0</v>
      </c>
      <c r="R78" s="51">
        <f ca="1" t="shared" si="81"/>
        <v>0</v>
      </c>
      <c r="S78" s="51">
        <f ca="1" t="shared" si="81"/>
        <v>0</v>
      </c>
      <c r="T78" s="51">
        <f ca="1" t="shared" si="81"/>
        <v>1</v>
      </c>
      <c r="U78" s="51">
        <f ca="1" t="shared" si="81"/>
        <v>24</v>
      </c>
      <c r="V78" s="51">
        <f ca="1" t="shared" si="81"/>
        <v>0</v>
      </c>
      <c r="W78" s="51">
        <f ca="1" t="shared" si="68"/>
        <v>200</v>
      </c>
      <c r="X78" s="51">
        <f>IFERROR(_xlfn.XLOOKUP($B78,社保汇总表!E:E,社保汇总表!R:R),0)</f>
        <v>434.42</v>
      </c>
      <c r="Y78" s="51">
        <f>VLOOKUP($B78,公积金汇总表!$P:$Q,2,0)</f>
        <v>110</v>
      </c>
      <c r="Z78" s="51"/>
      <c r="AA78" s="316" t="str">
        <f ca="1" t="shared" si="71"/>
        <v>全勤，年假 8小时(04/18 09:00-04/18 18:30)</v>
      </c>
      <c r="AB78" s="316">
        <f ca="1" t="shared" si="69"/>
        <v>0</v>
      </c>
    </row>
    <row r="79" s="349" customFormat="1" ht="22" customHeight="1" spans="1:29">
      <c r="A79" s="370">
        <v>77</v>
      </c>
      <c r="B79" s="376" t="s">
        <v>201</v>
      </c>
      <c r="C79" s="370">
        <v>4</v>
      </c>
      <c r="D79" s="370" t="s">
        <v>194</v>
      </c>
      <c r="E79" s="370" t="s">
        <v>88</v>
      </c>
      <c r="F79" s="371">
        <v>44562</v>
      </c>
      <c r="G79" s="51">
        <f ca="1" t="shared" ref="G79:V79" si="82">VLOOKUP($B79,INDIRECT($D79&amp;"!$AG$1:$AY$66"),MATCH(G$1,INDIRECT($D79&amp;"!$AG$1:$AY$1"),0),0)</f>
        <v>24</v>
      </c>
      <c r="H79" s="51">
        <f ca="1" t="shared" si="82"/>
        <v>11.5</v>
      </c>
      <c r="I79" s="51">
        <f ca="1" t="shared" si="82"/>
        <v>0</v>
      </c>
      <c r="J79" s="51">
        <f ca="1" t="shared" si="82"/>
        <v>0</v>
      </c>
      <c r="K79" s="51">
        <f ca="1" t="shared" si="82"/>
        <v>0</v>
      </c>
      <c r="L79" s="51">
        <f ca="1" t="shared" si="82"/>
        <v>0</v>
      </c>
      <c r="M79" s="51">
        <f ca="1" t="shared" si="82"/>
        <v>0</v>
      </c>
      <c r="N79" s="51">
        <f ca="1" t="shared" si="82"/>
        <v>0</v>
      </c>
      <c r="O79" s="51">
        <f ca="1" t="shared" si="82"/>
        <v>0</v>
      </c>
      <c r="P79" s="51">
        <f ca="1" t="shared" si="82"/>
        <v>0</v>
      </c>
      <c r="Q79" s="51">
        <f ca="1" t="shared" si="82"/>
        <v>0</v>
      </c>
      <c r="R79" s="51">
        <f ca="1" t="shared" si="82"/>
        <v>0</v>
      </c>
      <c r="S79" s="51">
        <f ca="1" t="shared" si="82"/>
        <v>0</v>
      </c>
      <c r="T79" s="51">
        <f ca="1" t="shared" si="82"/>
        <v>0</v>
      </c>
      <c r="U79" s="51">
        <f ca="1" t="shared" si="82"/>
        <v>11.5</v>
      </c>
      <c r="V79" s="51">
        <f ca="1" t="shared" si="82"/>
        <v>0</v>
      </c>
      <c r="W79" s="51">
        <f ca="1" t="shared" si="68"/>
        <v>0</v>
      </c>
      <c r="X79" s="51">
        <f>IFERROR(_xlfn.XLOOKUP($B79,社保汇总表!E:E,社保汇总表!R:R),0)</f>
        <v>434.42</v>
      </c>
      <c r="Y79" s="51">
        <f>VLOOKUP($B79,公积金汇总表!$P:$Q,2,0)</f>
        <v>110</v>
      </c>
      <c r="Z79" s="51"/>
      <c r="AA79" s="316" t="str">
        <f ca="1" t="shared" si="71"/>
        <v>产假 158天(01/26 上午-07/02 下午)，4月份居家办公每日出勤4小时计0.5天出勤</v>
      </c>
      <c r="AB79" s="316">
        <f ca="1" t="shared" si="69"/>
        <v>0</v>
      </c>
    </row>
    <row r="80" s="349" customFormat="1" ht="22" customHeight="1" spans="1:29">
      <c r="A80" s="370">
        <v>78</v>
      </c>
      <c r="B80" s="285" t="s">
        <v>203</v>
      </c>
      <c r="C80" s="370">
        <v>4</v>
      </c>
      <c r="D80" s="370" t="s">
        <v>194</v>
      </c>
      <c r="E80" s="370" t="s">
        <v>195</v>
      </c>
      <c r="F80" s="371">
        <v>45419</v>
      </c>
      <c r="G80" s="51">
        <f ca="1" t="shared" ref="G80:V80" si="83">VLOOKUP($B80,INDIRECT($D80&amp;"!$AG$1:$AY$66"),MATCH(G$1,INDIRECT($D80&amp;"!$AG$1:$AY$1"),0),0)</f>
        <v>24</v>
      </c>
      <c r="H80" s="51">
        <f ca="1" t="shared" si="83"/>
        <v>22</v>
      </c>
      <c r="I80" s="51">
        <f ca="1" t="shared" si="83"/>
        <v>0</v>
      </c>
      <c r="J80" s="51">
        <f ca="1" t="shared" si="83"/>
        <v>0</v>
      </c>
      <c r="K80" s="51">
        <f ca="1" t="shared" si="83"/>
        <v>0</v>
      </c>
      <c r="L80" s="51">
        <f ca="1" t="shared" si="83"/>
        <v>0</v>
      </c>
      <c r="M80" s="51">
        <f ca="1" t="shared" si="83"/>
        <v>1</v>
      </c>
      <c r="N80" s="51">
        <f ca="1" t="shared" si="83"/>
        <v>0</v>
      </c>
      <c r="O80" s="51">
        <f ca="1" t="shared" si="83"/>
        <v>0</v>
      </c>
      <c r="P80" s="51">
        <f ca="1" t="shared" si="83"/>
        <v>0</v>
      </c>
      <c r="Q80" s="51">
        <f ca="1" t="shared" si="83"/>
        <v>0</v>
      </c>
      <c r="R80" s="51">
        <f ca="1" t="shared" si="83"/>
        <v>0</v>
      </c>
      <c r="S80" s="51">
        <f ca="1" t="shared" si="83"/>
        <v>0</v>
      </c>
      <c r="T80" s="51">
        <f ca="1" t="shared" si="83"/>
        <v>1</v>
      </c>
      <c r="U80" s="51">
        <f ca="1" t="shared" si="83"/>
        <v>24</v>
      </c>
      <c r="V80" s="51">
        <f ca="1" t="shared" si="83"/>
        <v>0</v>
      </c>
      <c r="W80" s="51">
        <f ca="1" t="shared" si="68"/>
        <v>200</v>
      </c>
      <c r="X80" s="51">
        <f>IFERROR(_xlfn.XLOOKUP($B80,社保汇总表!E:E,社保汇总表!R:R),0)</f>
        <v>434.42</v>
      </c>
      <c r="Y80" s="51">
        <f>VLOOKUP($B80,公积金汇总表!$P:$Q,2,0)</f>
        <v>110</v>
      </c>
      <c r="Z80" s="51"/>
      <c r="AA80" s="316" t="str">
        <f ca="1" t="shared" si="71"/>
        <v>全勤，年假 8小时(04/08 09:00-04/08 18:30)</v>
      </c>
      <c r="AB80" s="316">
        <f ca="1" t="shared" si="69"/>
        <v>0.5</v>
      </c>
    </row>
    <row r="81" s="349" customFormat="1" ht="22" customHeight="1" spans="1:28">
      <c r="A81" s="370">
        <v>79</v>
      </c>
      <c r="B81" s="285" t="s">
        <v>205</v>
      </c>
      <c r="C81" s="370">
        <v>4</v>
      </c>
      <c r="D81" s="370" t="s">
        <v>206</v>
      </c>
      <c r="E81" s="370" t="s">
        <v>39</v>
      </c>
      <c r="F81" s="371">
        <v>45024</v>
      </c>
      <c r="G81" s="51">
        <f ca="1" t="shared" ref="G81:V81" si="84">VLOOKUP($B81,INDIRECT($D81&amp;"!$AG$1:$AY$66"),MATCH(G$1,INDIRECT($D81&amp;"!$AG$1:$AY$1"),0),0)</f>
        <v>24</v>
      </c>
      <c r="H81" s="51">
        <f ca="1" t="shared" si="84"/>
        <v>22.56</v>
      </c>
      <c r="I81" s="51">
        <f ca="1" t="shared" si="84"/>
        <v>0</v>
      </c>
      <c r="J81" s="51">
        <f ca="1" t="shared" si="84"/>
        <v>0</v>
      </c>
      <c r="K81" s="51">
        <f ca="1" t="shared" si="84"/>
        <v>0</v>
      </c>
      <c r="L81" s="51">
        <f ca="1" t="shared" si="84"/>
        <v>0</v>
      </c>
      <c r="M81" s="51">
        <f ca="1" t="shared" si="84"/>
        <v>0.44</v>
      </c>
      <c r="N81" s="51">
        <f ca="1" t="shared" si="84"/>
        <v>0</v>
      </c>
      <c r="O81" s="51">
        <f ca="1" t="shared" si="84"/>
        <v>0</v>
      </c>
      <c r="P81" s="51">
        <f ca="1" t="shared" si="84"/>
        <v>0</v>
      </c>
      <c r="Q81" s="51">
        <f ca="1" t="shared" si="84"/>
        <v>0</v>
      </c>
      <c r="R81" s="51">
        <f ca="1" t="shared" si="84"/>
        <v>0</v>
      </c>
      <c r="S81" s="51">
        <f ca="1" t="shared" si="84"/>
        <v>0</v>
      </c>
      <c r="T81" s="51">
        <f ca="1" t="shared" si="84"/>
        <v>1</v>
      </c>
      <c r="U81" s="51">
        <f ca="1" t="shared" si="84"/>
        <v>24</v>
      </c>
      <c r="V81" s="51">
        <f ca="1" t="shared" si="84"/>
        <v>0</v>
      </c>
      <c r="W81" s="51">
        <f ca="1" t="shared" si="68"/>
        <v>200</v>
      </c>
      <c r="X81" s="51">
        <f>IFERROR(_xlfn.XLOOKUP($B81,社保汇总表!C:C,社保汇总表!F:F),0)</f>
        <v>470.29</v>
      </c>
      <c r="Y81" s="51">
        <f>VLOOKUP($B81,公积金汇总表!$P:$Q,2,0)</f>
        <v>120</v>
      </c>
      <c r="Z81" s="51"/>
      <c r="AA81" s="316" t="str">
        <f ca="1" t="shared" si="71"/>
        <v>全勤，年假 3.5小时(04/27 09:00-04/27 12:30)</v>
      </c>
      <c r="AB81" s="316">
        <f ca="1" t="shared" si="69"/>
        <v>7.5</v>
      </c>
    </row>
    <row r="82" s="349" customFormat="1" ht="22" customHeight="1" spans="1:28">
      <c r="A82" s="370">
        <v>80</v>
      </c>
      <c r="B82" s="285" t="s">
        <v>208</v>
      </c>
      <c r="C82" s="370">
        <v>4</v>
      </c>
      <c r="D82" s="370" t="s">
        <v>206</v>
      </c>
      <c r="E82" s="370" t="s">
        <v>39</v>
      </c>
      <c r="F82" s="371">
        <v>45986</v>
      </c>
      <c r="G82" s="51">
        <f ca="1" t="shared" ref="G82:V82" si="85">VLOOKUP($B82,INDIRECT($D82&amp;"!$AG$1:$AY$66"),MATCH(G$1,INDIRECT($D82&amp;"!$AG$1:$AY$1"),0),0)</f>
        <v>24</v>
      </c>
      <c r="H82" s="51">
        <f ca="1" t="shared" si="85"/>
        <v>23</v>
      </c>
      <c r="I82" s="51">
        <f ca="1" t="shared" si="85"/>
        <v>0</v>
      </c>
      <c r="J82" s="51">
        <f ca="1" t="shared" si="85"/>
        <v>0</v>
      </c>
      <c r="K82" s="51">
        <f ca="1" t="shared" si="85"/>
        <v>0</v>
      </c>
      <c r="L82" s="51">
        <f ca="1" t="shared" si="85"/>
        <v>0</v>
      </c>
      <c r="M82" s="51">
        <f ca="1" t="shared" si="85"/>
        <v>0</v>
      </c>
      <c r="N82" s="51">
        <f ca="1" t="shared" si="85"/>
        <v>0</v>
      </c>
      <c r="O82" s="51">
        <f ca="1" t="shared" si="85"/>
        <v>0</v>
      </c>
      <c r="P82" s="51">
        <f ca="1" t="shared" si="85"/>
        <v>0</v>
      </c>
      <c r="Q82" s="51">
        <f ca="1" t="shared" si="85"/>
        <v>0</v>
      </c>
      <c r="R82" s="51">
        <f ca="1" t="shared" si="85"/>
        <v>0</v>
      </c>
      <c r="S82" s="51">
        <f ca="1" t="shared" si="85"/>
        <v>0</v>
      </c>
      <c r="T82" s="51">
        <f ca="1" t="shared" si="85"/>
        <v>1</v>
      </c>
      <c r="U82" s="51">
        <f ca="1" t="shared" si="85"/>
        <v>24</v>
      </c>
      <c r="V82" s="51">
        <f ca="1" t="shared" si="85"/>
        <v>0</v>
      </c>
      <c r="W82" s="51">
        <f ca="1" t="shared" si="68"/>
        <v>200</v>
      </c>
      <c r="X82" s="51">
        <f>IFERROR(_xlfn.XLOOKUP($B82,社保汇总表!C:C,社保汇总表!F:F),0)</f>
        <v>470.29</v>
      </c>
      <c r="Y82" s="51">
        <f>VLOOKUP($B82,公积金汇总表!$P:$Q,2,0)</f>
        <v>120</v>
      </c>
      <c r="Z82" s="51"/>
      <c r="AA82" s="316" t="str">
        <f ca="1" t="shared" si="71"/>
        <v>全勤</v>
      </c>
      <c r="AB82" s="316">
        <f ca="1" t="shared" si="69"/>
        <v>0</v>
      </c>
    </row>
    <row r="83" s="349" customFormat="1" ht="22" customHeight="1" spans="1:28">
      <c r="A83" s="370">
        <v>81</v>
      </c>
      <c r="B83" s="285" t="s">
        <v>210</v>
      </c>
      <c r="C83" s="370">
        <v>4</v>
      </c>
      <c r="D83" s="370" t="s">
        <v>206</v>
      </c>
      <c r="E83" s="370" t="s">
        <v>76</v>
      </c>
      <c r="F83" s="371">
        <v>43631</v>
      </c>
      <c r="G83" s="51">
        <f ca="1" t="shared" ref="G83:V83" si="86">VLOOKUP($B83,INDIRECT($D83&amp;"!$AG$1:$AY$66"),MATCH(G$1,INDIRECT($D83&amp;"!$AG$1:$AY$1"),0),0)</f>
        <v>24</v>
      </c>
      <c r="H83" s="51">
        <f ca="1" t="shared" si="86"/>
        <v>22.56</v>
      </c>
      <c r="I83" s="51">
        <f ca="1" t="shared" si="86"/>
        <v>0</v>
      </c>
      <c r="J83" s="51">
        <f ca="1" t="shared" si="86"/>
        <v>0</v>
      </c>
      <c r="K83" s="51">
        <f ca="1" t="shared" si="86"/>
        <v>0</v>
      </c>
      <c r="L83" s="51">
        <f ca="1" t="shared" si="86"/>
        <v>0</v>
      </c>
      <c r="M83" s="51">
        <f ca="1" t="shared" si="86"/>
        <v>0.44</v>
      </c>
      <c r="N83" s="51">
        <f ca="1" t="shared" si="86"/>
        <v>0</v>
      </c>
      <c r="O83" s="51">
        <f ca="1" t="shared" si="86"/>
        <v>0</v>
      </c>
      <c r="P83" s="51">
        <f ca="1" t="shared" si="86"/>
        <v>0</v>
      </c>
      <c r="Q83" s="51">
        <f ca="1" t="shared" si="86"/>
        <v>0</v>
      </c>
      <c r="R83" s="51">
        <f ca="1" t="shared" si="86"/>
        <v>0</v>
      </c>
      <c r="S83" s="51">
        <f ca="1" t="shared" si="86"/>
        <v>0</v>
      </c>
      <c r="T83" s="51">
        <f ca="1" t="shared" si="86"/>
        <v>1</v>
      </c>
      <c r="U83" s="51">
        <f ca="1" t="shared" si="86"/>
        <v>24</v>
      </c>
      <c r="V83" s="51">
        <f ca="1" t="shared" si="86"/>
        <v>0</v>
      </c>
      <c r="W83" s="51">
        <f ca="1" t="shared" si="68"/>
        <v>200</v>
      </c>
      <c r="X83" s="51">
        <f>IFERROR(_xlfn.XLOOKUP($B83,社保汇总表!C:C,社保汇总表!F:F),0)</f>
        <v>470.29</v>
      </c>
      <c r="Y83" s="51">
        <f>VLOOKUP($B83,公积金汇总表!$P:$Q,2,0)</f>
        <v>120</v>
      </c>
      <c r="Z83" s="51"/>
      <c r="AA83" s="316" t="str">
        <f ca="1" t="shared" si="71"/>
        <v>全勤，年假 3.5小时(04/18 15:00-04/18 18:30)</v>
      </c>
      <c r="AB83" s="316">
        <f ca="1" t="shared" si="69"/>
        <v>4</v>
      </c>
    </row>
    <row r="84" s="349" customFormat="1" ht="22" customHeight="1" spans="1:28">
      <c r="A84" s="370">
        <v>82</v>
      </c>
      <c r="B84" s="370" t="s">
        <v>212</v>
      </c>
      <c r="C84" s="370">
        <v>4</v>
      </c>
      <c r="D84" s="370" t="s">
        <v>206</v>
      </c>
      <c r="E84" s="370" t="s">
        <v>57</v>
      </c>
      <c r="F84" s="371">
        <v>45573</v>
      </c>
      <c r="G84" s="51">
        <f ca="1" t="shared" ref="G84:V84" si="87">VLOOKUP($B84,INDIRECT($D84&amp;"!$AG$1:$AY$66"),MATCH(G$1,INDIRECT($D84&amp;"!$AG$1:$AY$1"),0),0)</f>
        <v>24</v>
      </c>
      <c r="H84" s="51">
        <f ca="1" t="shared" si="87"/>
        <v>21</v>
      </c>
      <c r="I84" s="51">
        <f ca="1" t="shared" si="87"/>
        <v>0</v>
      </c>
      <c r="J84" s="51">
        <f ca="1" t="shared" si="87"/>
        <v>4</v>
      </c>
      <c r="K84" s="51">
        <f ca="1" t="shared" si="87"/>
        <v>0</v>
      </c>
      <c r="L84" s="51">
        <f ca="1" t="shared" si="87"/>
        <v>1</v>
      </c>
      <c r="M84" s="51">
        <f ca="1" t="shared" si="87"/>
        <v>1</v>
      </c>
      <c r="N84" s="51">
        <f ca="1" t="shared" si="87"/>
        <v>0</v>
      </c>
      <c r="O84" s="51">
        <f ca="1" t="shared" si="87"/>
        <v>0</v>
      </c>
      <c r="P84" s="51">
        <f ca="1" t="shared" si="87"/>
        <v>0</v>
      </c>
      <c r="Q84" s="51">
        <f ca="1" t="shared" si="87"/>
        <v>0</v>
      </c>
      <c r="R84" s="51">
        <f ca="1" t="shared" si="87"/>
        <v>0</v>
      </c>
      <c r="S84" s="51">
        <f ca="1" t="shared" si="87"/>
        <v>0</v>
      </c>
      <c r="T84" s="51">
        <f ca="1" t="shared" si="87"/>
        <v>1</v>
      </c>
      <c r="U84" s="51">
        <f ca="1" t="shared" si="87"/>
        <v>23</v>
      </c>
      <c r="V84" s="51">
        <f ca="1" t="shared" si="87"/>
        <v>50</v>
      </c>
      <c r="W84" s="51">
        <f ca="1" t="shared" si="68"/>
        <v>0</v>
      </c>
      <c r="X84" s="51">
        <f>IFERROR(_xlfn.XLOOKUP($B84,社保汇总表!C:C,社保汇总表!F:F),0)</f>
        <v>470.29</v>
      </c>
      <c r="Y84" s="51">
        <f>VLOOKUP($B84,公积金汇总表!$P:$Q,2,0)</f>
        <v>120</v>
      </c>
      <c r="Z84" s="51"/>
      <c r="AA84" s="316" t="str">
        <f ca="1" t="shared" si="71"/>
        <v>年假 8小时(04/02 09:00-04/02 18:30);事假 8小时(04/18 09:00-04/18 18:30)，缺卡累计4次，按人力行政制度月缺卡超3次需乐捐50元</v>
      </c>
      <c r="AB84" s="316">
        <f ca="1" t="shared" si="69"/>
        <v>0</v>
      </c>
    </row>
    <row r="85" s="349" customFormat="1" ht="22" customHeight="1" spans="1:28">
      <c r="A85" s="370">
        <v>83</v>
      </c>
      <c r="B85" s="285" t="s">
        <v>214</v>
      </c>
      <c r="C85" s="370">
        <v>4</v>
      </c>
      <c r="D85" s="370" t="s">
        <v>206</v>
      </c>
      <c r="E85" s="370" t="s">
        <v>57</v>
      </c>
      <c r="F85" s="371">
        <v>45444</v>
      </c>
      <c r="G85" s="51">
        <f ca="1" t="shared" ref="G85:V85" si="88">VLOOKUP($B85,INDIRECT($D85&amp;"!$AG$1:$AY$66"),MATCH(G$1,INDIRECT($D85&amp;"!$AG$1:$AY$1"),0),0)</f>
        <v>24</v>
      </c>
      <c r="H85" s="51">
        <f ca="1" t="shared" si="88"/>
        <v>22.44</v>
      </c>
      <c r="I85" s="51">
        <f ca="1" t="shared" si="88"/>
        <v>0</v>
      </c>
      <c r="J85" s="51">
        <f ca="1" t="shared" si="88"/>
        <v>0</v>
      </c>
      <c r="K85" s="51">
        <f ca="1" t="shared" si="88"/>
        <v>0</v>
      </c>
      <c r="L85" s="51">
        <f ca="1" t="shared" si="88"/>
        <v>0</v>
      </c>
      <c r="M85" s="51">
        <f ca="1" t="shared" si="88"/>
        <v>0.56</v>
      </c>
      <c r="N85" s="51">
        <f ca="1" t="shared" si="88"/>
        <v>0</v>
      </c>
      <c r="O85" s="51">
        <f ca="1" t="shared" si="88"/>
        <v>0</v>
      </c>
      <c r="P85" s="51">
        <f ca="1" t="shared" si="88"/>
        <v>0</v>
      </c>
      <c r="Q85" s="51">
        <f ca="1" t="shared" si="88"/>
        <v>0</v>
      </c>
      <c r="R85" s="51">
        <f ca="1" t="shared" si="88"/>
        <v>0</v>
      </c>
      <c r="S85" s="51">
        <f ca="1" t="shared" si="88"/>
        <v>0</v>
      </c>
      <c r="T85" s="51">
        <f ca="1" t="shared" si="88"/>
        <v>1</v>
      </c>
      <c r="U85" s="51">
        <f ca="1" t="shared" si="88"/>
        <v>24</v>
      </c>
      <c r="V85" s="51">
        <f ca="1" t="shared" si="88"/>
        <v>0</v>
      </c>
      <c r="W85" s="51">
        <f ca="1" t="shared" si="68"/>
        <v>200</v>
      </c>
      <c r="X85" s="51">
        <f>IFERROR(_xlfn.XLOOKUP($B85,社保汇总表!C:C,社保汇总表!F:F),0)</f>
        <v>470.29</v>
      </c>
      <c r="Y85" s="51">
        <f>VLOOKUP($B85,公积金汇总表!$P:$Q,2,0)</f>
        <v>120</v>
      </c>
      <c r="Z85" s="51"/>
      <c r="AA85" s="316" t="str">
        <f ca="1" t="shared" si="71"/>
        <v>全勤，年假 4.5小时(04/27 14:00-04/27 18:30)</v>
      </c>
      <c r="AB85" s="316">
        <f ca="1" t="shared" si="69"/>
        <v>21.5</v>
      </c>
    </row>
    <row r="86" s="349" customFormat="1" ht="22" customHeight="1" spans="1:28">
      <c r="A86" s="370">
        <v>84</v>
      </c>
      <c r="B86" s="285" t="s">
        <v>216</v>
      </c>
      <c r="C86" s="370">
        <v>4</v>
      </c>
      <c r="D86" s="370" t="s">
        <v>206</v>
      </c>
      <c r="E86" s="370" t="s">
        <v>217</v>
      </c>
      <c r="F86" s="371">
        <v>43521</v>
      </c>
      <c r="G86" s="51">
        <f ca="1" t="shared" ref="G86:V86" si="89">VLOOKUP($B86,INDIRECT($D86&amp;"!$AG$1:$AY$66"),MATCH(G$1,INDIRECT($D86&amp;"!$AG$1:$AY$1"),0),0)</f>
        <v>24</v>
      </c>
      <c r="H86" s="51">
        <f ca="1" t="shared" si="89"/>
        <v>21.56</v>
      </c>
      <c r="I86" s="51">
        <f ca="1" t="shared" si="89"/>
        <v>0</v>
      </c>
      <c r="J86" s="51">
        <f ca="1" t="shared" si="89"/>
        <v>0</v>
      </c>
      <c r="K86" s="51">
        <f ca="1" t="shared" si="89"/>
        <v>0</v>
      </c>
      <c r="L86" s="51">
        <f ca="1" t="shared" si="89"/>
        <v>1</v>
      </c>
      <c r="M86" s="51">
        <f ca="1" t="shared" si="89"/>
        <v>0.44</v>
      </c>
      <c r="N86" s="51">
        <f ca="1" t="shared" si="89"/>
        <v>0</v>
      </c>
      <c r="O86" s="51">
        <f ca="1" t="shared" si="89"/>
        <v>0</v>
      </c>
      <c r="P86" s="51">
        <f ca="1" t="shared" si="89"/>
        <v>0</v>
      </c>
      <c r="Q86" s="51">
        <f ca="1" t="shared" si="89"/>
        <v>0</v>
      </c>
      <c r="R86" s="51">
        <f ca="1" t="shared" si="89"/>
        <v>0</v>
      </c>
      <c r="S86" s="51">
        <f ca="1" t="shared" si="89"/>
        <v>0</v>
      </c>
      <c r="T86" s="51">
        <f ca="1" t="shared" si="89"/>
        <v>1</v>
      </c>
      <c r="U86" s="51">
        <f ca="1" t="shared" si="89"/>
        <v>23</v>
      </c>
      <c r="V86" s="51">
        <f ca="1" t="shared" si="89"/>
        <v>0</v>
      </c>
      <c r="W86" s="51">
        <f ca="1" t="shared" si="68"/>
        <v>0</v>
      </c>
      <c r="X86" s="51">
        <f>IFERROR(_xlfn.XLOOKUP($B86,社保汇总表!C:C,社保汇总表!F:F),0)</f>
        <v>470.29</v>
      </c>
      <c r="Y86" s="51">
        <f>VLOOKUP($B86,公积金汇总表!$P:$Q,2,0)</f>
        <v>125</v>
      </c>
      <c r="Z86" s="51"/>
      <c r="AA86" s="316" t="str">
        <f ca="1" t="shared" si="71"/>
        <v>年假 3.5小时(04/17 09:00-04/17 12:30);事假 8小时(04/30 09:00-04/30 18:30)</v>
      </c>
      <c r="AB86" s="316">
        <f ca="1" t="shared" si="69"/>
        <v>1</v>
      </c>
    </row>
    <row r="87" s="349" customFormat="1" ht="22" customHeight="1" spans="1:28">
      <c r="A87" s="370">
        <v>85</v>
      </c>
      <c r="B87" s="285" t="s">
        <v>219</v>
      </c>
      <c r="C87" s="370">
        <v>4</v>
      </c>
      <c r="D87" s="370" t="s">
        <v>206</v>
      </c>
      <c r="E87" s="370" t="s">
        <v>217</v>
      </c>
      <c r="F87" s="371">
        <v>44754</v>
      </c>
      <c r="G87" s="51">
        <f ca="1" t="shared" ref="G87:V87" si="90">VLOOKUP($B87,INDIRECT($D87&amp;"!$AG$1:$AY$66"),MATCH(G$1,INDIRECT($D87&amp;"!$AG$1:$AY$1"),0),0)</f>
        <v>24</v>
      </c>
      <c r="H87" s="51">
        <f ca="1" t="shared" si="90"/>
        <v>23</v>
      </c>
      <c r="I87" s="51">
        <f ca="1" t="shared" si="90"/>
        <v>0</v>
      </c>
      <c r="J87" s="51">
        <f ca="1" t="shared" si="90"/>
        <v>0</v>
      </c>
      <c r="K87" s="51">
        <f ca="1" t="shared" si="90"/>
        <v>0</v>
      </c>
      <c r="L87" s="51">
        <f ca="1" t="shared" si="90"/>
        <v>0</v>
      </c>
      <c r="M87" s="51">
        <f ca="1" t="shared" si="90"/>
        <v>0</v>
      </c>
      <c r="N87" s="51">
        <f ca="1" t="shared" si="90"/>
        <v>0</v>
      </c>
      <c r="O87" s="51">
        <f ca="1" t="shared" si="90"/>
        <v>0</v>
      </c>
      <c r="P87" s="51">
        <f ca="1" t="shared" si="90"/>
        <v>0</v>
      </c>
      <c r="Q87" s="51">
        <f ca="1" t="shared" si="90"/>
        <v>0</v>
      </c>
      <c r="R87" s="51">
        <f ca="1" t="shared" si="90"/>
        <v>0</v>
      </c>
      <c r="S87" s="51">
        <f ca="1" t="shared" si="90"/>
        <v>0</v>
      </c>
      <c r="T87" s="51">
        <f ca="1" t="shared" si="90"/>
        <v>1</v>
      </c>
      <c r="U87" s="51">
        <f ca="1" t="shared" si="90"/>
        <v>24</v>
      </c>
      <c r="V87" s="51">
        <f ca="1" t="shared" si="90"/>
        <v>0</v>
      </c>
      <c r="W87" s="51">
        <f ca="1" t="shared" si="68"/>
        <v>200</v>
      </c>
      <c r="X87" s="51">
        <f>IFERROR(_xlfn.XLOOKUP($B87,社保汇总表!C:C,社保汇总表!F:F),0)</f>
        <v>470.29</v>
      </c>
      <c r="Y87" s="51">
        <f>VLOOKUP($B87,公积金汇总表!$P:$Q,2,0)</f>
        <v>120</v>
      </c>
      <c r="Z87" s="51"/>
      <c r="AA87" s="316" t="str">
        <f ca="1" t="shared" si="71"/>
        <v>全勤</v>
      </c>
      <c r="AB87" s="316">
        <f ca="1" t="shared" si="69"/>
        <v>0.5</v>
      </c>
    </row>
    <row r="88" s="349" customFormat="1" ht="22" customHeight="1" spans="1:28">
      <c r="A88" s="370">
        <v>86</v>
      </c>
      <c r="B88" s="285" t="s">
        <v>221</v>
      </c>
      <c r="C88" s="370">
        <v>4</v>
      </c>
      <c r="D88" s="370" t="s">
        <v>206</v>
      </c>
      <c r="E88" s="370" t="s">
        <v>217</v>
      </c>
      <c r="F88" s="371">
        <v>44358</v>
      </c>
      <c r="G88" s="51">
        <f ca="1" t="shared" ref="G88:V88" si="91">VLOOKUP($B88,INDIRECT($D88&amp;"!$AG$1:$AY$66"),MATCH(G$1,INDIRECT($D88&amp;"!$AG$1:$AY$1"),0),0)</f>
        <v>24</v>
      </c>
      <c r="H88" s="51">
        <f ca="1" t="shared" si="91"/>
        <v>22.44</v>
      </c>
      <c r="I88" s="51">
        <f ca="1" t="shared" si="91"/>
        <v>8</v>
      </c>
      <c r="J88" s="51">
        <f ca="1" t="shared" si="91"/>
        <v>0</v>
      </c>
      <c r="K88" s="51">
        <f ca="1" t="shared" si="91"/>
        <v>0</v>
      </c>
      <c r="L88" s="51">
        <f ca="1" t="shared" si="91"/>
        <v>0.56</v>
      </c>
      <c r="M88" s="51">
        <f ca="1" t="shared" si="91"/>
        <v>0</v>
      </c>
      <c r="N88" s="51">
        <f ca="1" t="shared" si="91"/>
        <v>0</v>
      </c>
      <c r="O88" s="51">
        <f ca="1" t="shared" si="91"/>
        <v>0</v>
      </c>
      <c r="P88" s="51">
        <f ca="1" t="shared" si="91"/>
        <v>0</v>
      </c>
      <c r="Q88" s="51">
        <f ca="1" t="shared" si="91"/>
        <v>0</v>
      </c>
      <c r="R88" s="51">
        <f ca="1" t="shared" si="91"/>
        <v>0</v>
      </c>
      <c r="S88" s="51">
        <f ca="1" t="shared" si="91"/>
        <v>0</v>
      </c>
      <c r="T88" s="51">
        <f ca="1" t="shared" si="91"/>
        <v>1</v>
      </c>
      <c r="U88" s="51">
        <f ca="1" t="shared" si="91"/>
        <v>23.44</v>
      </c>
      <c r="V88" s="51">
        <f ca="1" t="shared" si="91"/>
        <v>0</v>
      </c>
      <c r="W88" s="51">
        <f ca="1" t="shared" si="68"/>
        <v>0</v>
      </c>
      <c r="X88" s="51">
        <f>IFERROR(_xlfn.XLOOKUP($B88,社保汇总表!C:C,社保汇总表!F:F),0)</f>
        <v>470.29</v>
      </c>
      <c r="Y88" s="51">
        <f>VLOOKUP($B88,公积金汇总表!$P:$Q,2,0)</f>
        <v>120</v>
      </c>
      <c r="Z88" s="51"/>
      <c r="AA88" s="316" t="str">
        <f ca="1" t="shared" si="71"/>
        <v>事假 4.5小时(04/30 14:00-04/30 18:30)；迟到2次共8分钟</v>
      </c>
      <c r="AB88" s="316">
        <f ca="1" t="shared" si="69"/>
        <v>0.5</v>
      </c>
    </row>
    <row r="89" s="349" customFormat="1" ht="22" customHeight="1" spans="1:28">
      <c r="A89" s="370">
        <v>87</v>
      </c>
      <c r="B89" s="285" t="s">
        <v>223</v>
      </c>
      <c r="C89" s="370">
        <v>4</v>
      </c>
      <c r="D89" s="370" t="s">
        <v>206</v>
      </c>
      <c r="E89" s="370" t="s">
        <v>217</v>
      </c>
      <c r="F89" s="371">
        <v>44365</v>
      </c>
      <c r="G89" s="51">
        <f ca="1" t="shared" ref="G89:V89" si="92">VLOOKUP($B89,INDIRECT($D89&amp;"!$AG$1:$AY$66"),MATCH(G$1,INDIRECT($D89&amp;"!$AG$1:$AY$1"),0),0)</f>
        <v>24</v>
      </c>
      <c r="H89" s="51">
        <f ca="1" t="shared" si="92"/>
        <v>22</v>
      </c>
      <c r="I89" s="51">
        <f ca="1" t="shared" si="92"/>
        <v>0</v>
      </c>
      <c r="J89" s="51">
        <f ca="1" t="shared" si="92"/>
        <v>0</v>
      </c>
      <c r="K89" s="51">
        <f ca="1" t="shared" si="92"/>
        <v>0</v>
      </c>
      <c r="L89" s="51">
        <f ca="1" t="shared" si="92"/>
        <v>0</v>
      </c>
      <c r="M89" s="51">
        <f ca="1" t="shared" si="92"/>
        <v>1</v>
      </c>
      <c r="N89" s="51">
        <f ca="1" t="shared" si="92"/>
        <v>0</v>
      </c>
      <c r="O89" s="51">
        <f ca="1" t="shared" si="92"/>
        <v>0</v>
      </c>
      <c r="P89" s="51">
        <f ca="1" t="shared" si="92"/>
        <v>0</v>
      </c>
      <c r="Q89" s="51">
        <f ca="1" t="shared" si="92"/>
        <v>0</v>
      </c>
      <c r="R89" s="51">
        <f ca="1" t="shared" si="92"/>
        <v>0</v>
      </c>
      <c r="S89" s="51">
        <f ca="1" t="shared" si="92"/>
        <v>0</v>
      </c>
      <c r="T89" s="51">
        <f ca="1" t="shared" si="92"/>
        <v>1</v>
      </c>
      <c r="U89" s="51">
        <f ca="1" t="shared" si="92"/>
        <v>24</v>
      </c>
      <c r="V89" s="51">
        <f ca="1" t="shared" si="92"/>
        <v>0</v>
      </c>
      <c r="W89" s="51">
        <f ca="1" t="shared" si="68"/>
        <v>200</v>
      </c>
      <c r="X89" s="51">
        <f>IFERROR(_xlfn.XLOOKUP($B89,社保汇总表!C:C,社保汇总表!F:F),0)</f>
        <v>470.29</v>
      </c>
      <c r="Y89" s="51">
        <f>VLOOKUP($B89,公积金汇总表!$P:$Q,2,0)</f>
        <v>120</v>
      </c>
      <c r="Z89" s="51"/>
      <c r="AA89" s="316" t="str">
        <f ca="1" t="shared" si="71"/>
        <v>全勤，年假 8小时(04/27 09:00-04/27 18:30)</v>
      </c>
      <c r="AB89" s="316">
        <f ca="1" t="shared" si="69"/>
        <v>2.5</v>
      </c>
    </row>
    <row r="90" s="349" customFormat="1" ht="22" customHeight="1" spans="1:28">
      <c r="A90" s="370">
        <v>88</v>
      </c>
      <c r="B90" s="285" t="s">
        <v>225</v>
      </c>
      <c r="C90" s="370">
        <v>4</v>
      </c>
      <c r="D90" s="370" t="s">
        <v>206</v>
      </c>
      <c r="E90" s="370" t="s">
        <v>217</v>
      </c>
      <c r="F90" s="371">
        <v>45291</v>
      </c>
      <c r="G90" s="51">
        <f ca="1" t="shared" ref="G90:V90" si="93">VLOOKUP($B90,INDIRECT($D90&amp;"!$AG$1:$AY$66"),MATCH(G$1,INDIRECT($D90&amp;"!$AG$1:$AY$1"),0),0)</f>
        <v>24</v>
      </c>
      <c r="H90" s="51">
        <f ca="1" t="shared" si="93"/>
        <v>23</v>
      </c>
      <c r="I90" s="51">
        <f ca="1" t="shared" si="93"/>
        <v>0</v>
      </c>
      <c r="J90" s="51">
        <f ca="1" t="shared" si="93"/>
        <v>0</v>
      </c>
      <c r="K90" s="51">
        <f ca="1" t="shared" si="93"/>
        <v>0</v>
      </c>
      <c r="L90" s="51">
        <f ca="1" t="shared" si="93"/>
        <v>0</v>
      </c>
      <c r="M90" s="51">
        <f ca="1" t="shared" si="93"/>
        <v>0</v>
      </c>
      <c r="N90" s="51">
        <f ca="1" t="shared" si="93"/>
        <v>0</v>
      </c>
      <c r="O90" s="51">
        <f ca="1" t="shared" si="93"/>
        <v>0</v>
      </c>
      <c r="P90" s="51">
        <f ca="1" t="shared" si="93"/>
        <v>0</v>
      </c>
      <c r="Q90" s="51">
        <f ca="1" t="shared" si="93"/>
        <v>0</v>
      </c>
      <c r="R90" s="51">
        <f ca="1" t="shared" si="93"/>
        <v>0</v>
      </c>
      <c r="S90" s="51">
        <f ca="1" t="shared" si="93"/>
        <v>0</v>
      </c>
      <c r="T90" s="51">
        <f ca="1" t="shared" si="93"/>
        <v>1</v>
      </c>
      <c r="U90" s="51">
        <f ca="1" t="shared" si="93"/>
        <v>24</v>
      </c>
      <c r="V90" s="51">
        <f ca="1" t="shared" si="93"/>
        <v>0</v>
      </c>
      <c r="W90" s="51">
        <f ca="1" t="shared" si="68"/>
        <v>200</v>
      </c>
      <c r="X90" s="51">
        <f>IFERROR(_xlfn.XLOOKUP($B90,社保汇总表!C:C,社保汇总表!F:F),0)</f>
        <v>470.29</v>
      </c>
      <c r="Y90" s="51">
        <f>VLOOKUP($B90,公积金汇总表!$P:$Q,2,0)</f>
        <v>120</v>
      </c>
      <c r="Z90" s="51"/>
      <c r="AA90" s="316" t="str">
        <f ca="1" t="shared" si="71"/>
        <v>全勤</v>
      </c>
      <c r="AB90" s="316">
        <f ca="1" t="shared" si="69"/>
        <v>0</v>
      </c>
    </row>
    <row r="91" s="349" customFormat="1" ht="22" customHeight="1" spans="1:28">
      <c r="A91" s="370">
        <v>89</v>
      </c>
      <c r="B91" s="298" t="s">
        <v>227</v>
      </c>
      <c r="C91" s="370">
        <v>4</v>
      </c>
      <c r="D91" s="370" t="s">
        <v>206</v>
      </c>
      <c r="E91" s="370" t="s">
        <v>217</v>
      </c>
      <c r="F91" s="371">
        <v>45884</v>
      </c>
      <c r="G91" s="51">
        <f ca="1" t="shared" ref="G91:V91" si="94">VLOOKUP($B91,INDIRECT($D91&amp;"!$AG$1:$AY$66"),MATCH(G$1,INDIRECT($D91&amp;"!$AG$1:$AY$1"),0),0)</f>
        <v>24</v>
      </c>
      <c r="H91" s="51">
        <f ca="1" t="shared" si="94"/>
        <v>23</v>
      </c>
      <c r="I91" s="51">
        <f ca="1" t="shared" si="94"/>
        <v>0</v>
      </c>
      <c r="J91" s="51">
        <f ca="1" t="shared" si="94"/>
        <v>0</v>
      </c>
      <c r="K91" s="51">
        <f ca="1" t="shared" si="94"/>
        <v>0</v>
      </c>
      <c r="L91" s="51">
        <f ca="1" t="shared" si="94"/>
        <v>0</v>
      </c>
      <c r="M91" s="51">
        <f ca="1" t="shared" si="94"/>
        <v>0</v>
      </c>
      <c r="N91" s="51">
        <f ca="1" t="shared" si="94"/>
        <v>0</v>
      </c>
      <c r="O91" s="51">
        <f ca="1" t="shared" si="94"/>
        <v>0</v>
      </c>
      <c r="P91" s="51">
        <f ca="1" t="shared" si="94"/>
        <v>0</v>
      </c>
      <c r="Q91" s="51">
        <f ca="1" t="shared" si="94"/>
        <v>0</v>
      </c>
      <c r="R91" s="51">
        <f ca="1" t="shared" si="94"/>
        <v>0</v>
      </c>
      <c r="S91" s="51">
        <f ca="1" t="shared" si="94"/>
        <v>0</v>
      </c>
      <c r="T91" s="51">
        <f ca="1" t="shared" si="94"/>
        <v>1</v>
      </c>
      <c r="U91" s="51">
        <f ca="1" t="shared" si="94"/>
        <v>24</v>
      </c>
      <c r="V91" s="51">
        <f ca="1" t="shared" si="94"/>
        <v>0</v>
      </c>
      <c r="W91" s="51">
        <f ca="1" t="shared" si="68"/>
        <v>200</v>
      </c>
      <c r="X91" s="51">
        <f>IFERROR(_xlfn.XLOOKUP($B91,社保汇总表!C:C,社保汇总表!F:F),0)</f>
        <v>470.29</v>
      </c>
      <c r="Y91" s="51">
        <f>VLOOKUP($B91,公积金汇总表!$P:$Q,2,0)</f>
        <v>120</v>
      </c>
      <c r="Z91" s="51"/>
      <c r="AA91" s="316" t="str">
        <f ca="1" t="shared" si="71"/>
        <v>全勤</v>
      </c>
      <c r="AB91" s="316">
        <f ca="1" t="shared" si="69"/>
        <v>0.5</v>
      </c>
    </row>
    <row r="92" s="349" customFormat="1" ht="22" customHeight="1" spans="1:28">
      <c r="A92" s="370">
        <v>90</v>
      </c>
      <c r="B92" s="285" t="s">
        <v>229</v>
      </c>
      <c r="C92" s="370">
        <v>4</v>
      </c>
      <c r="D92" s="370" t="s">
        <v>206</v>
      </c>
      <c r="E92" s="370" t="s">
        <v>99</v>
      </c>
      <c r="F92" s="371">
        <v>44211</v>
      </c>
      <c r="G92" s="51">
        <f ca="1" t="shared" ref="G92:V92" si="95">VLOOKUP($B92,INDIRECT($D92&amp;"!$AG$1:$AY$66"),MATCH(G$1,INDIRECT($D92&amp;"!$AG$1:$AY$1"),0),0)</f>
        <v>24</v>
      </c>
      <c r="H92" s="51">
        <f ca="1" t="shared" si="95"/>
        <v>20</v>
      </c>
      <c r="I92" s="51">
        <f ca="1" t="shared" si="95"/>
        <v>4</v>
      </c>
      <c r="J92" s="51">
        <f ca="1" t="shared" si="95"/>
        <v>0</v>
      </c>
      <c r="K92" s="51">
        <f ca="1" t="shared" si="95"/>
        <v>0</v>
      </c>
      <c r="L92" s="51">
        <f ca="1" t="shared" si="95"/>
        <v>3</v>
      </c>
      <c r="M92" s="51">
        <f ca="1" t="shared" si="95"/>
        <v>0</v>
      </c>
      <c r="N92" s="51">
        <f ca="1" t="shared" si="95"/>
        <v>0</v>
      </c>
      <c r="O92" s="51">
        <f ca="1" t="shared" si="95"/>
        <v>0</v>
      </c>
      <c r="P92" s="51">
        <f ca="1" t="shared" si="95"/>
        <v>0</v>
      </c>
      <c r="Q92" s="51">
        <f ca="1" t="shared" si="95"/>
        <v>0</v>
      </c>
      <c r="R92" s="51">
        <f ca="1" t="shared" si="95"/>
        <v>0</v>
      </c>
      <c r="S92" s="51">
        <f ca="1" t="shared" si="95"/>
        <v>0</v>
      </c>
      <c r="T92" s="51">
        <f ca="1" t="shared" si="95"/>
        <v>1</v>
      </c>
      <c r="U92" s="51">
        <f ca="1" t="shared" si="95"/>
        <v>21</v>
      </c>
      <c r="V92" s="51">
        <f ca="1" t="shared" si="95"/>
        <v>0</v>
      </c>
      <c r="W92" s="51">
        <f ca="1" t="shared" si="68"/>
        <v>0</v>
      </c>
      <c r="X92" s="51">
        <f>IFERROR(_xlfn.XLOOKUP($B92,社保汇总表!C:C,社保汇总表!F:F),0)</f>
        <v>470.29</v>
      </c>
      <c r="Y92" s="51">
        <f>VLOOKUP($B92,公积金汇总表!$P:$Q,2,0)</f>
        <v>120</v>
      </c>
      <c r="Z92" s="51"/>
      <c r="AA92" s="316" t="str">
        <f ca="1" t="shared" si="71"/>
        <v>事假 24小时(04/28 09:00-04/30 18:30)；迟到3次共4分钟</v>
      </c>
      <c r="AB92" s="316">
        <f ca="1" t="shared" si="69"/>
        <v>0</v>
      </c>
    </row>
    <row r="93" s="349" customFormat="1" ht="22" customHeight="1" spans="1:28">
      <c r="A93" s="370">
        <v>91</v>
      </c>
      <c r="B93" s="285" t="s">
        <v>231</v>
      </c>
      <c r="C93" s="370">
        <v>4</v>
      </c>
      <c r="D93" s="370" t="s">
        <v>206</v>
      </c>
      <c r="E93" s="370" t="s">
        <v>99</v>
      </c>
      <c r="F93" s="371">
        <v>44613</v>
      </c>
      <c r="G93" s="51">
        <f ca="1" t="shared" ref="G93:V93" si="96">VLOOKUP($B93,INDIRECT($D93&amp;"!$AG$1:$AY$66"),MATCH(G$1,INDIRECT($D93&amp;"!$AG$1:$AY$1"),0),0)</f>
        <v>24</v>
      </c>
      <c r="H93" s="51">
        <f ca="1" t="shared" si="96"/>
        <v>23</v>
      </c>
      <c r="I93" s="51">
        <f ca="1" t="shared" si="96"/>
        <v>0</v>
      </c>
      <c r="J93" s="51">
        <f ca="1" t="shared" si="96"/>
        <v>0</v>
      </c>
      <c r="K93" s="51">
        <f ca="1" t="shared" si="96"/>
        <v>0</v>
      </c>
      <c r="L93" s="51">
        <f ca="1" t="shared" si="96"/>
        <v>0</v>
      </c>
      <c r="M93" s="51">
        <f ca="1" t="shared" si="96"/>
        <v>0</v>
      </c>
      <c r="N93" s="51">
        <f ca="1" t="shared" si="96"/>
        <v>0</v>
      </c>
      <c r="O93" s="51">
        <f ca="1" t="shared" si="96"/>
        <v>0</v>
      </c>
      <c r="P93" s="51">
        <f ca="1" t="shared" si="96"/>
        <v>0</v>
      </c>
      <c r="Q93" s="51">
        <f ca="1" t="shared" si="96"/>
        <v>0</v>
      </c>
      <c r="R93" s="51">
        <f ca="1" t="shared" si="96"/>
        <v>0</v>
      </c>
      <c r="S93" s="51">
        <f ca="1" t="shared" si="96"/>
        <v>0</v>
      </c>
      <c r="T93" s="51">
        <f ca="1" t="shared" si="96"/>
        <v>1</v>
      </c>
      <c r="U93" s="51">
        <f ca="1" t="shared" si="96"/>
        <v>24</v>
      </c>
      <c r="V93" s="51">
        <f ca="1" t="shared" si="96"/>
        <v>0</v>
      </c>
      <c r="W93" s="51">
        <f ca="1" t="shared" si="68"/>
        <v>200</v>
      </c>
      <c r="X93" s="51">
        <f>IFERROR(_xlfn.XLOOKUP($B93,社保汇总表!C:C,社保汇总表!F:F),0)</f>
        <v>470.29</v>
      </c>
      <c r="Y93" s="51">
        <f>VLOOKUP($B93,公积金汇总表!$P:$Q,2,0)</f>
        <v>120</v>
      </c>
      <c r="Z93" s="51"/>
      <c r="AA93" s="316" t="str">
        <f ca="1" t="shared" si="71"/>
        <v>全勤</v>
      </c>
      <c r="AB93" s="316">
        <f ca="1" t="shared" si="69"/>
        <v>0</v>
      </c>
    </row>
    <row r="94" s="349" customFormat="1" ht="22" customHeight="1" spans="1:28">
      <c r="A94" s="370">
        <v>92</v>
      </c>
      <c r="B94" s="285" t="s">
        <v>233</v>
      </c>
      <c r="C94" s="370">
        <v>4</v>
      </c>
      <c r="D94" s="370" t="s">
        <v>206</v>
      </c>
      <c r="E94" s="370" t="s">
        <v>234</v>
      </c>
      <c r="F94" s="371">
        <v>45454</v>
      </c>
      <c r="G94" s="51">
        <f ca="1" t="shared" ref="G94:V94" si="97">VLOOKUP($B94,INDIRECT($D94&amp;"!$AG$1:$AY$66"),MATCH(G$1,INDIRECT($D94&amp;"!$AG$1:$AY$1"),0),0)</f>
        <v>24</v>
      </c>
      <c r="H94" s="51">
        <f ca="1" t="shared" si="97"/>
        <v>22.12</v>
      </c>
      <c r="I94" s="51">
        <f ca="1" t="shared" si="97"/>
        <v>0</v>
      </c>
      <c r="J94" s="51">
        <f ca="1" t="shared" si="97"/>
        <v>0</v>
      </c>
      <c r="K94" s="51">
        <f ca="1" t="shared" si="97"/>
        <v>0</v>
      </c>
      <c r="L94" s="51">
        <f ca="1" t="shared" si="97"/>
        <v>0</v>
      </c>
      <c r="M94" s="51">
        <f ca="1" t="shared" si="97"/>
        <v>0.88</v>
      </c>
      <c r="N94" s="51">
        <f ca="1" t="shared" si="97"/>
        <v>0</v>
      </c>
      <c r="O94" s="51">
        <f ca="1" t="shared" si="97"/>
        <v>0</v>
      </c>
      <c r="P94" s="51">
        <f ca="1" t="shared" si="97"/>
        <v>0</v>
      </c>
      <c r="Q94" s="51">
        <f ca="1" t="shared" si="97"/>
        <v>0</v>
      </c>
      <c r="R94" s="51">
        <f ca="1" t="shared" si="97"/>
        <v>0</v>
      </c>
      <c r="S94" s="51">
        <f ca="1" t="shared" si="97"/>
        <v>0</v>
      </c>
      <c r="T94" s="51">
        <f ca="1" t="shared" si="97"/>
        <v>1</v>
      </c>
      <c r="U94" s="51">
        <f ca="1" t="shared" si="97"/>
        <v>24</v>
      </c>
      <c r="V94" s="51">
        <f ca="1" t="shared" si="97"/>
        <v>0</v>
      </c>
      <c r="W94" s="51">
        <f ca="1" t="shared" si="68"/>
        <v>200</v>
      </c>
      <c r="X94" s="51">
        <f>IFERROR(_xlfn.XLOOKUP($B94,社保汇总表!C:C,社保汇总表!F:F),0)</f>
        <v>470.29</v>
      </c>
      <c r="Y94" s="51">
        <f>VLOOKUP($B94,公积金汇总表!$P:$Q,2,0)</f>
        <v>120</v>
      </c>
      <c r="Z94" s="51"/>
      <c r="AA94" s="316" t="str">
        <f ca="1" t="shared" si="71"/>
        <v>全勤，年假 3.5小时(04/13 09:00-04/13 12:30);年假 3.5小时(04/28 09:00-04/28 12:30)</v>
      </c>
      <c r="AB94" s="316">
        <f ca="1" t="shared" si="69"/>
        <v>2.5</v>
      </c>
    </row>
    <row r="95" s="349" customFormat="1" ht="22" customHeight="1" spans="1:28">
      <c r="A95" s="370">
        <v>93</v>
      </c>
      <c r="B95" s="285" t="s">
        <v>236</v>
      </c>
      <c r="C95" s="370">
        <v>4</v>
      </c>
      <c r="D95" s="370" t="s">
        <v>206</v>
      </c>
      <c r="E95" s="370" t="s">
        <v>234</v>
      </c>
      <c r="F95" s="371">
        <v>43252</v>
      </c>
      <c r="G95" s="51">
        <f ca="1" t="shared" ref="G95:V95" si="98">VLOOKUP($B95,INDIRECT($D95&amp;"!$AG$1:$AY$66"),MATCH(G$1,INDIRECT($D95&amp;"!$AG$1:$AY$1"),0),0)</f>
        <v>24</v>
      </c>
      <c r="H95" s="51">
        <f ca="1" t="shared" si="98"/>
        <v>23</v>
      </c>
      <c r="I95" s="51">
        <f ca="1" t="shared" si="98"/>
        <v>0</v>
      </c>
      <c r="J95" s="51">
        <f ca="1" t="shared" si="98"/>
        <v>0</v>
      </c>
      <c r="K95" s="51">
        <f ca="1" t="shared" si="98"/>
        <v>0</v>
      </c>
      <c r="L95" s="51">
        <f ca="1" t="shared" si="98"/>
        <v>0</v>
      </c>
      <c r="M95" s="51">
        <f ca="1" t="shared" si="98"/>
        <v>0</v>
      </c>
      <c r="N95" s="51">
        <f ca="1" t="shared" si="98"/>
        <v>0</v>
      </c>
      <c r="O95" s="51">
        <f ca="1" t="shared" si="98"/>
        <v>0</v>
      </c>
      <c r="P95" s="51">
        <f ca="1" t="shared" si="98"/>
        <v>0</v>
      </c>
      <c r="Q95" s="51">
        <f ca="1" t="shared" si="98"/>
        <v>0</v>
      </c>
      <c r="R95" s="51">
        <f ca="1" t="shared" si="98"/>
        <v>0</v>
      </c>
      <c r="S95" s="51">
        <f ca="1" t="shared" si="98"/>
        <v>0</v>
      </c>
      <c r="T95" s="51">
        <f ca="1" t="shared" si="98"/>
        <v>1</v>
      </c>
      <c r="U95" s="51">
        <f ca="1" t="shared" si="98"/>
        <v>24</v>
      </c>
      <c r="V95" s="51">
        <f ca="1" t="shared" si="98"/>
        <v>0</v>
      </c>
      <c r="W95" s="51">
        <f ca="1" t="shared" si="68"/>
        <v>200</v>
      </c>
      <c r="X95" s="51">
        <f>IFERROR(_xlfn.XLOOKUP($B95,社保汇总表!C:C,社保汇总表!F:F),0)</f>
        <v>470.29</v>
      </c>
      <c r="Y95" s="51">
        <f>VLOOKUP($B95,公积金汇总表!$P:$Q,2,0)</f>
        <v>125</v>
      </c>
      <c r="Z95" s="51"/>
      <c r="AA95" s="316" t="str">
        <f ca="1" t="shared" si="71"/>
        <v>全勤</v>
      </c>
      <c r="AB95" s="316">
        <f ca="1" t="shared" si="69"/>
        <v>21.5</v>
      </c>
    </row>
    <row r="96" s="349" customFormat="1" ht="22" customHeight="1" spans="1:28">
      <c r="A96" s="370">
        <v>94</v>
      </c>
      <c r="B96" s="51" t="s">
        <v>238</v>
      </c>
      <c r="C96" s="370">
        <v>4</v>
      </c>
      <c r="D96" s="370" t="s">
        <v>206</v>
      </c>
      <c r="E96" s="370" t="s">
        <v>234</v>
      </c>
      <c r="F96" s="371"/>
      <c r="G96" s="51">
        <f ca="1" t="shared" ref="G96:V96" si="99">VLOOKUP($B96,INDIRECT($D96&amp;"!$AG$1:$AY$66"),MATCH(G$1,INDIRECT($D96&amp;"!$AG$1:$AY$1"),0),0)</f>
        <v>24</v>
      </c>
      <c r="H96" s="51">
        <f ca="1" t="shared" si="99"/>
        <v>23</v>
      </c>
      <c r="I96" s="51">
        <f ca="1" t="shared" si="99"/>
        <v>0</v>
      </c>
      <c r="J96" s="51">
        <f ca="1" t="shared" si="99"/>
        <v>0</v>
      </c>
      <c r="K96" s="51">
        <f ca="1" t="shared" si="99"/>
        <v>0</v>
      </c>
      <c r="L96" s="51">
        <f ca="1" t="shared" si="99"/>
        <v>0</v>
      </c>
      <c r="M96" s="51">
        <f ca="1" t="shared" si="99"/>
        <v>0</v>
      </c>
      <c r="N96" s="51">
        <f ca="1" t="shared" si="99"/>
        <v>0</v>
      </c>
      <c r="O96" s="51">
        <f ca="1" t="shared" si="99"/>
        <v>0</v>
      </c>
      <c r="P96" s="51">
        <f ca="1" t="shared" si="99"/>
        <v>0</v>
      </c>
      <c r="Q96" s="51">
        <f ca="1" t="shared" si="99"/>
        <v>0</v>
      </c>
      <c r="R96" s="51">
        <f ca="1" t="shared" si="99"/>
        <v>0</v>
      </c>
      <c r="S96" s="51">
        <f ca="1" t="shared" si="99"/>
        <v>0</v>
      </c>
      <c r="T96" s="51">
        <f ca="1" t="shared" si="99"/>
        <v>1</v>
      </c>
      <c r="U96" s="51">
        <f ca="1" t="shared" si="99"/>
        <v>24</v>
      </c>
      <c r="V96" s="51">
        <f ca="1" t="shared" si="99"/>
        <v>0</v>
      </c>
      <c r="W96" s="51">
        <f ca="1" t="shared" si="68"/>
        <v>200</v>
      </c>
      <c r="X96" s="51">
        <f>IFERROR(_xlfn.XLOOKUP($B96,社保汇总表!C:C,社保汇总表!F:F),0)</f>
        <v>0</v>
      </c>
      <c r="Y96" s="51"/>
      <c r="Z96" s="51"/>
      <c r="AA96" s="316" t="str">
        <f ca="1" t="shared" si="71"/>
        <v>全勤</v>
      </c>
      <c r="AB96" s="316">
        <f ca="1" t="shared" si="69"/>
        <v>0</v>
      </c>
    </row>
    <row r="97" s="349" customFormat="1" ht="22" customHeight="1" spans="1:29">
      <c r="A97" s="370">
        <v>95</v>
      </c>
      <c r="B97" s="51" t="s">
        <v>240</v>
      </c>
      <c r="C97" s="370">
        <v>4</v>
      </c>
      <c r="D97" s="370" t="s">
        <v>206</v>
      </c>
      <c r="E97" s="370" t="s">
        <v>99</v>
      </c>
      <c r="F97" s="371"/>
      <c r="G97" s="51">
        <f ca="1" t="shared" ref="G97:V97" si="100">VLOOKUP($B97,INDIRECT($D97&amp;"!$AG$1:$AY$66"),MATCH(G$1,INDIRECT($D97&amp;"!$AG$1:$AY$1"),0),0)</f>
        <v>24</v>
      </c>
      <c r="H97" s="51">
        <f ca="1" t="shared" si="100"/>
        <v>23</v>
      </c>
      <c r="I97" s="51">
        <f ca="1" t="shared" si="100"/>
        <v>0</v>
      </c>
      <c r="J97" s="51">
        <f ca="1" t="shared" si="100"/>
        <v>0</v>
      </c>
      <c r="K97" s="51">
        <f ca="1" t="shared" si="100"/>
        <v>0</v>
      </c>
      <c r="L97" s="51">
        <f ca="1" t="shared" si="100"/>
        <v>0</v>
      </c>
      <c r="M97" s="51">
        <f ca="1" t="shared" si="100"/>
        <v>0</v>
      </c>
      <c r="N97" s="51">
        <f ca="1" t="shared" si="100"/>
        <v>0</v>
      </c>
      <c r="O97" s="51">
        <f ca="1" t="shared" si="100"/>
        <v>0</v>
      </c>
      <c r="P97" s="51">
        <f ca="1" t="shared" si="100"/>
        <v>0</v>
      </c>
      <c r="Q97" s="51">
        <f ca="1" t="shared" si="100"/>
        <v>0</v>
      </c>
      <c r="R97" s="51">
        <f ca="1" t="shared" si="100"/>
        <v>0</v>
      </c>
      <c r="S97" s="51">
        <f ca="1" t="shared" si="100"/>
        <v>0</v>
      </c>
      <c r="T97" s="51">
        <f ca="1" t="shared" si="100"/>
        <v>1</v>
      </c>
      <c r="U97" s="51">
        <f ca="1" t="shared" si="100"/>
        <v>24</v>
      </c>
      <c r="V97" s="51">
        <f ca="1" t="shared" si="100"/>
        <v>0</v>
      </c>
      <c r="W97" s="51">
        <f ca="1" t="shared" si="68"/>
        <v>200</v>
      </c>
      <c r="X97" s="51">
        <f>IFERROR(_xlfn.XLOOKUP($B97,社保汇总表!C:C,社保汇总表!F:F),0)</f>
        <v>0</v>
      </c>
      <c r="Y97" s="51"/>
      <c r="Z97" s="51"/>
      <c r="AA97" s="316" t="str">
        <f ca="1" t="shared" si="71"/>
        <v>全勤</v>
      </c>
      <c r="AB97" s="316">
        <f ca="1" t="shared" si="69"/>
        <v>1.5</v>
      </c>
    </row>
    <row r="98" s="349" customFormat="1" ht="22" customHeight="1" spans="1:29">
      <c r="A98" s="370">
        <v>96</v>
      </c>
      <c r="B98" s="285" t="s">
        <v>242</v>
      </c>
      <c r="C98" s="370">
        <v>4</v>
      </c>
      <c r="D98" s="288" t="s">
        <v>243</v>
      </c>
      <c r="E98" s="374" t="s">
        <v>104</v>
      </c>
      <c r="F98" s="371">
        <v>45809</v>
      </c>
      <c r="G98" s="51">
        <f ca="1" t="shared" ref="G98:V98" si="101">VLOOKUP($B98,INDIRECT($D98&amp;"!$AG$1:$AY$66"),MATCH(G$1,INDIRECT($D98&amp;"!$AG$1:$AY$1"),0),0)</f>
        <v>24</v>
      </c>
      <c r="H98" s="51">
        <f ca="1" t="shared" si="101"/>
        <v>23</v>
      </c>
      <c r="I98" s="51">
        <f ca="1" t="shared" si="101"/>
        <v>0</v>
      </c>
      <c r="J98" s="51">
        <f ca="1" t="shared" si="101"/>
        <v>0</v>
      </c>
      <c r="K98" s="51">
        <f ca="1" t="shared" si="101"/>
        <v>0</v>
      </c>
      <c r="L98" s="51">
        <f ca="1" t="shared" si="101"/>
        <v>0</v>
      </c>
      <c r="M98" s="51">
        <f ca="1" t="shared" si="101"/>
        <v>0</v>
      </c>
      <c r="N98" s="51">
        <f ca="1" t="shared" si="101"/>
        <v>0</v>
      </c>
      <c r="O98" s="51">
        <f ca="1" t="shared" si="101"/>
        <v>0</v>
      </c>
      <c r="P98" s="51">
        <f ca="1" t="shared" si="101"/>
        <v>0</v>
      </c>
      <c r="Q98" s="51">
        <f ca="1" t="shared" si="101"/>
        <v>0</v>
      </c>
      <c r="R98" s="51">
        <f ca="1" t="shared" si="101"/>
        <v>0</v>
      </c>
      <c r="S98" s="51">
        <f ca="1" t="shared" si="101"/>
        <v>0</v>
      </c>
      <c r="T98" s="51">
        <f ca="1" t="shared" si="101"/>
        <v>1</v>
      </c>
      <c r="U98" s="51">
        <f ca="1" t="shared" si="101"/>
        <v>24</v>
      </c>
      <c r="V98" s="51">
        <f ca="1" t="shared" si="101"/>
        <v>0</v>
      </c>
      <c r="W98" s="51">
        <f ca="1" t="shared" si="68"/>
        <v>200</v>
      </c>
      <c r="X98" s="51">
        <f>IFERROR(_xlfn.XLOOKUP($B98,社保汇总表!C:C,社保汇总表!F:F),0)</f>
        <v>458.72</v>
      </c>
      <c r="Y98" s="51">
        <f>VLOOKUP($B98,公积金汇总表!$P:$Q,2,0)</f>
        <v>105</v>
      </c>
      <c r="Z98" s="51"/>
      <c r="AA98" s="316" t="str">
        <f ca="1" t="shared" si="71"/>
        <v>全勤</v>
      </c>
      <c r="AB98" s="316">
        <f ca="1" t="shared" si="69"/>
        <v>0</v>
      </c>
    </row>
    <row r="99" s="349" customFormat="1" ht="22" customHeight="1" spans="1:29">
      <c r="A99" s="370">
        <v>97</v>
      </c>
      <c r="B99" s="285" t="s">
        <v>245</v>
      </c>
      <c r="C99" s="370">
        <v>4</v>
      </c>
      <c r="D99" s="288" t="s">
        <v>243</v>
      </c>
      <c r="E99" s="377" t="s">
        <v>104</v>
      </c>
      <c r="F99" s="371">
        <v>45748</v>
      </c>
      <c r="G99" s="51">
        <f ca="1" t="shared" ref="G99:V99" si="102">VLOOKUP($B99,INDIRECT($D99&amp;"!$AG$1:$AY$66"),MATCH(G$1,INDIRECT($D99&amp;"!$AG$1:$AY$1"),0),0)</f>
        <v>24</v>
      </c>
      <c r="H99" s="51">
        <f ca="1" t="shared" si="102"/>
        <v>23</v>
      </c>
      <c r="I99" s="51">
        <f ca="1" t="shared" si="102"/>
        <v>0</v>
      </c>
      <c r="J99" s="51">
        <f ca="1" t="shared" si="102"/>
        <v>0</v>
      </c>
      <c r="K99" s="51">
        <f ca="1" t="shared" si="102"/>
        <v>0</v>
      </c>
      <c r="L99" s="51">
        <f ca="1" t="shared" si="102"/>
        <v>0</v>
      </c>
      <c r="M99" s="51">
        <f ca="1" t="shared" si="102"/>
        <v>0</v>
      </c>
      <c r="N99" s="51">
        <f ca="1" t="shared" si="102"/>
        <v>0</v>
      </c>
      <c r="O99" s="51">
        <f ca="1" t="shared" si="102"/>
        <v>0</v>
      </c>
      <c r="P99" s="51">
        <f ca="1" t="shared" si="102"/>
        <v>0</v>
      </c>
      <c r="Q99" s="51">
        <f ca="1" t="shared" si="102"/>
        <v>0</v>
      </c>
      <c r="R99" s="51">
        <f ca="1" t="shared" si="102"/>
        <v>0</v>
      </c>
      <c r="S99" s="51">
        <f ca="1" t="shared" si="102"/>
        <v>0</v>
      </c>
      <c r="T99" s="51">
        <f ca="1" t="shared" si="102"/>
        <v>1</v>
      </c>
      <c r="U99" s="51">
        <f ca="1" t="shared" si="102"/>
        <v>24</v>
      </c>
      <c r="V99" s="51">
        <f ca="1" t="shared" si="102"/>
        <v>0</v>
      </c>
      <c r="W99" s="51">
        <f ca="1" t="shared" si="68"/>
        <v>200</v>
      </c>
      <c r="X99" s="51">
        <f>IFERROR(_xlfn.XLOOKUP($B99,社保汇总表!C:C,社保汇总表!F:F),0)</f>
        <v>458.72</v>
      </c>
      <c r="Y99" s="51">
        <f>VLOOKUP($B99,公积金汇总表!$P:$Q,2,0)</f>
        <v>105</v>
      </c>
      <c r="Z99" s="51"/>
      <c r="AA99" s="316" t="str">
        <f ca="1" t="shared" si="71"/>
        <v>全勤</v>
      </c>
      <c r="AB99" s="316">
        <f ca="1" t="shared" si="69"/>
        <v>0</v>
      </c>
    </row>
    <row r="100" s="349" customFormat="1" ht="22" customHeight="1" spans="1:29">
      <c r="A100" s="370">
        <v>98</v>
      </c>
      <c r="B100" s="378" t="s">
        <v>247</v>
      </c>
      <c r="C100" s="370">
        <v>4</v>
      </c>
      <c r="D100" s="370" t="s">
        <v>27</v>
      </c>
      <c r="E100" s="370" t="s">
        <v>248</v>
      </c>
      <c r="F100" s="371">
        <v>42307</v>
      </c>
      <c r="G100" s="51">
        <v>24</v>
      </c>
      <c r="H100" s="51">
        <v>23</v>
      </c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>
        <v>1</v>
      </c>
      <c r="U100" s="51">
        <v>24</v>
      </c>
      <c r="V100" s="51"/>
      <c r="W100" s="51"/>
      <c r="X100" s="51">
        <f>IFERROR(_xlfn.XLOOKUP($B100,社保汇总表!B:B,社保汇总表!G:G),0)</f>
        <v>626.54</v>
      </c>
      <c r="Y100" s="51">
        <f>VLOOKUP($B100,公积金汇总表!$P:$Q,2,0)</f>
        <v>500</v>
      </c>
      <c r="Z100" s="51"/>
      <c r="AA100" s="305"/>
      <c r="AB100" s="370"/>
    </row>
    <row r="101" s="349" customFormat="1" ht="22" customHeight="1" spans="1:29">
      <c r="A101" s="370">
        <v>99</v>
      </c>
      <c r="B101" s="378" t="s">
        <v>250</v>
      </c>
      <c r="C101" s="370">
        <v>4</v>
      </c>
      <c r="D101" s="370" t="s">
        <v>27</v>
      </c>
      <c r="E101" s="370" t="s">
        <v>248</v>
      </c>
      <c r="F101" s="371">
        <v>42430</v>
      </c>
      <c r="G101" s="51">
        <v>24</v>
      </c>
      <c r="H101" s="51">
        <v>23</v>
      </c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>
        <v>1</v>
      </c>
      <c r="U101" s="51">
        <v>24</v>
      </c>
      <c r="V101" s="51"/>
      <c r="W101" s="51"/>
      <c r="X101" s="51">
        <f>IFERROR(_xlfn.XLOOKUP($B101,社保汇总表!B:B,社保汇总表!G:G),0)</f>
        <v>626.54</v>
      </c>
      <c r="Y101" s="51">
        <f>VLOOKUP($B101,公积金汇总表!$P:$Q,2,0)</f>
        <v>500</v>
      </c>
      <c r="Z101" s="51"/>
      <c r="AA101" s="305"/>
      <c r="AB101" s="370"/>
    </row>
    <row r="102" s="349" customFormat="1" ht="22" customHeight="1" spans="1:29">
      <c r="A102" s="370">
        <v>100</v>
      </c>
      <c r="B102" s="378" t="s">
        <v>252</v>
      </c>
      <c r="C102" s="370">
        <v>4</v>
      </c>
      <c r="D102" s="370" t="s">
        <v>27</v>
      </c>
      <c r="E102" s="370" t="s">
        <v>28</v>
      </c>
      <c r="F102" s="371">
        <v>42307</v>
      </c>
      <c r="G102" s="51">
        <v>24</v>
      </c>
      <c r="H102" s="51">
        <v>23</v>
      </c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>
        <v>1</v>
      </c>
      <c r="U102" s="51">
        <v>24</v>
      </c>
      <c r="V102" s="51"/>
      <c r="W102" s="51"/>
      <c r="X102" s="51">
        <f>IFERROR(_xlfn.XLOOKUP($B102,社保汇总表!B:B,社保汇总表!G:G),0)</f>
        <v>524.14</v>
      </c>
      <c r="Y102" s="51">
        <f>VLOOKUP($B102,公积金汇总表!$P:$Q,2,0)</f>
        <v>118</v>
      </c>
      <c r="Z102" s="51"/>
      <c r="AA102" s="305"/>
      <c r="AB102" s="370"/>
    </row>
    <row r="103" s="350" customFormat="1" ht="22" customHeight="1" spans="1:29">
      <c r="A103" s="370">
        <v>101</v>
      </c>
      <c r="B103" s="378" t="s">
        <v>253</v>
      </c>
      <c r="C103" s="370">
        <v>4</v>
      </c>
      <c r="D103" s="370" t="s">
        <v>27</v>
      </c>
      <c r="E103" s="370" t="s">
        <v>248</v>
      </c>
      <c r="F103" s="371">
        <v>42368</v>
      </c>
      <c r="G103" s="51">
        <v>24</v>
      </c>
      <c r="H103" s="51">
        <v>23</v>
      </c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>
        <v>1</v>
      </c>
      <c r="U103" s="51">
        <v>24</v>
      </c>
      <c r="V103" s="51"/>
      <c r="W103" s="51"/>
      <c r="X103" s="51">
        <f>IFERROR(_xlfn.XLOOKUP($B103,社保汇总表!B:B,社保汇总表!G:G),0)</f>
        <v>626.54</v>
      </c>
      <c r="Y103" s="51">
        <f>VLOOKUP($B103,公积金汇总表!$P:$Q,2,0)</f>
        <v>500</v>
      </c>
      <c r="Z103" s="51"/>
      <c r="AA103" s="305"/>
      <c r="AB103" s="370"/>
      <c r="AC103" s="349"/>
    </row>
    <row r="104" s="351" customFormat="1" ht="22" customHeight="1" spans="1:29">
      <c r="A104" s="370">
        <v>102</v>
      </c>
      <c r="B104" s="378" t="s">
        <v>255</v>
      </c>
      <c r="C104" s="370">
        <v>4</v>
      </c>
      <c r="D104" s="370" t="s">
        <v>27</v>
      </c>
      <c r="E104" s="370" t="s">
        <v>141</v>
      </c>
      <c r="F104" s="371">
        <v>43739</v>
      </c>
      <c r="G104" s="51">
        <v>24</v>
      </c>
      <c r="H104" s="51">
        <v>23</v>
      </c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>
        <v>1</v>
      </c>
      <c r="U104" s="51">
        <v>24</v>
      </c>
      <c r="V104" s="51"/>
      <c r="W104" s="51">
        <v>200</v>
      </c>
      <c r="X104" s="51">
        <f>IFERROR(_xlfn.XLOOKUP($B104,社保汇总表!B:B,社保汇总表!G:G),0)</f>
        <v>422.64</v>
      </c>
      <c r="Y104" s="51">
        <f>VLOOKUP($B104,公积金汇总表!$P:$Q,2,0)</f>
        <v>118</v>
      </c>
      <c r="Z104" s="51"/>
      <c r="AA104" s="305" t="s">
        <v>256</v>
      </c>
      <c r="AB104" s="370"/>
      <c r="AC104" s="349"/>
    </row>
    <row r="105" s="349" customFormat="1" ht="22" customHeight="1" spans="1:29">
      <c r="A105" s="370">
        <v>103</v>
      </c>
      <c r="B105" s="379" t="s">
        <v>258</v>
      </c>
      <c r="C105" s="370">
        <v>4</v>
      </c>
      <c r="D105" s="370" t="s">
        <v>27</v>
      </c>
      <c r="E105" s="370" t="s">
        <v>259</v>
      </c>
      <c r="F105" s="371">
        <v>44873</v>
      </c>
      <c r="G105" s="51">
        <v>24</v>
      </c>
      <c r="H105" s="51">
        <v>23</v>
      </c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>
        <v>1</v>
      </c>
      <c r="U105" s="51">
        <v>24</v>
      </c>
      <c r="V105" s="51"/>
      <c r="W105" s="51"/>
      <c r="X105" s="51">
        <f>IFERROR(_xlfn.XLOOKUP($B105,社保汇总表!B:B,社保汇总表!G:G),0)</f>
        <v>521.58</v>
      </c>
      <c r="Y105" s="51">
        <f>VLOOKUP($B105,公积金汇总表!$P:$Q,2,0)</f>
        <v>126</v>
      </c>
      <c r="Z105" s="51"/>
      <c r="AA105" s="305"/>
      <c r="AB105" s="370"/>
    </row>
    <row r="106" s="349" customFormat="1" ht="22" customHeight="1" spans="1:29">
      <c r="A106" s="370">
        <v>104</v>
      </c>
      <c r="B106" s="380" t="s">
        <v>260</v>
      </c>
      <c r="C106" s="370">
        <v>4</v>
      </c>
      <c r="D106" s="370" t="s">
        <v>27</v>
      </c>
      <c r="E106" s="370" t="s">
        <v>261</v>
      </c>
      <c r="F106" s="371"/>
      <c r="G106" s="51">
        <v>24</v>
      </c>
      <c r="H106" s="51">
        <v>23</v>
      </c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>
        <v>1</v>
      </c>
      <c r="U106" s="51">
        <v>24</v>
      </c>
      <c r="V106" s="51"/>
      <c r="W106" s="51"/>
      <c r="X106" s="51"/>
      <c r="Y106" s="51"/>
      <c r="Z106" s="51"/>
      <c r="AA106" s="305"/>
      <c r="AB106" s="370"/>
    </row>
    <row r="107" s="349" customFormat="1" ht="22" customHeight="1" spans="1:29">
      <c r="A107" s="370">
        <v>105</v>
      </c>
      <c r="B107" s="380" t="s">
        <v>262</v>
      </c>
      <c r="C107" s="370">
        <v>4</v>
      </c>
      <c r="D107" s="370" t="s">
        <v>27</v>
      </c>
      <c r="E107" s="370" t="s">
        <v>263</v>
      </c>
      <c r="F107" s="371"/>
      <c r="G107" s="51">
        <v>24</v>
      </c>
      <c r="H107" s="51">
        <v>23</v>
      </c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>
        <v>1</v>
      </c>
      <c r="U107" s="51">
        <v>24</v>
      </c>
      <c r="V107" s="51"/>
      <c r="W107" s="51"/>
      <c r="X107" s="51">
        <f>IFERROR(_xlfn.XLOOKUP($B107,社保汇总表!B:B,社保汇总表!G:G),0)</f>
        <v>521.58</v>
      </c>
      <c r="Y107" s="51">
        <f>VLOOKUP($B107,公积金汇总表!$P:$Q,2,0)</f>
        <v>126</v>
      </c>
      <c r="Z107" s="51"/>
      <c r="AA107" s="305"/>
      <c r="AB107" s="370"/>
    </row>
    <row r="108" s="349" customFormat="1" ht="22" customHeight="1" spans="1:29">
      <c r="A108" s="370">
        <v>106</v>
      </c>
      <c r="B108" s="380" t="s">
        <v>264</v>
      </c>
      <c r="C108" s="370">
        <v>4</v>
      </c>
      <c r="D108" s="370" t="s">
        <v>27</v>
      </c>
      <c r="E108" s="370" t="s">
        <v>263</v>
      </c>
      <c r="F108" s="371"/>
      <c r="G108" s="51">
        <v>24</v>
      </c>
      <c r="H108" s="51">
        <v>23</v>
      </c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>
        <v>1</v>
      </c>
      <c r="U108" s="51">
        <v>24</v>
      </c>
      <c r="V108" s="51"/>
      <c r="W108" s="51"/>
      <c r="X108" s="51">
        <f>IFERROR(_xlfn.XLOOKUP($B108,社保汇总表!B:B,社保汇总表!G:G),0)</f>
        <v>420.68</v>
      </c>
      <c r="Y108" s="51"/>
      <c r="Z108" s="51"/>
      <c r="AA108" s="305"/>
      <c r="AB108" s="370"/>
    </row>
    <row r="109" s="349" customFormat="1" ht="22" customHeight="1" spans="1:29">
      <c r="A109" s="370">
        <v>107</v>
      </c>
      <c r="B109" s="381" t="s">
        <v>266</v>
      </c>
      <c r="C109" s="370">
        <v>4</v>
      </c>
      <c r="D109" s="370" t="s">
        <v>206</v>
      </c>
      <c r="E109" s="370" t="s">
        <v>217</v>
      </c>
      <c r="F109" s="371">
        <v>43435</v>
      </c>
      <c r="G109" s="51">
        <v>24</v>
      </c>
      <c r="H109" s="51">
        <v>23</v>
      </c>
      <c r="I109" s="51"/>
      <c r="J109" s="51"/>
      <c r="K109" s="51"/>
      <c r="L109" s="51"/>
      <c r="M109" s="51"/>
      <c r="N109" s="370"/>
      <c r="O109" s="370"/>
      <c r="P109" s="370"/>
      <c r="Q109" s="370"/>
      <c r="R109" s="370"/>
      <c r="S109" s="51"/>
      <c r="T109" s="51">
        <v>1</v>
      </c>
      <c r="U109" s="51">
        <v>24</v>
      </c>
      <c r="V109" s="51"/>
      <c r="W109" s="51">
        <v>200</v>
      </c>
      <c r="X109" s="51">
        <f>IFERROR(_xlfn.XLOOKUP($B109,社保汇总表!C:C,社保汇总表!F:F),0)</f>
        <v>470.29</v>
      </c>
      <c r="Y109" s="51">
        <f>VLOOKUP($B109,公积金汇总表!$P:$Q,2,0)</f>
        <v>150</v>
      </c>
      <c r="Z109" s="51"/>
      <c r="AA109" s="382" t="s">
        <v>267</v>
      </c>
      <c r="AB109" s="370"/>
    </row>
    <row r="110" s="349" customFormat="1" ht="22" customHeight="1" spans="1:29">
      <c r="A110" s="370">
        <v>108</v>
      </c>
      <c r="B110" s="383" t="s">
        <v>268</v>
      </c>
      <c r="C110" s="370">
        <v>4</v>
      </c>
      <c r="D110" s="370" t="s">
        <v>206</v>
      </c>
      <c r="E110" s="370" t="s">
        <v>263</v>
      </c>
      <c r="F110" s="371"/>
      <c r="G110" s="51">
        <v>24</v>
      </c>
      <c r="H110" s="51">
        <v>23</v>
      </c>
      <c r="I110" s="51"/>
      <c r="J110" s="51"/>
      <c r="K110" s="51"/>
      <c r="L110" s="51"/>
      <c r="M110" s="51"/>
      <c r="N110" s="370"/>
      <c r="O110" s="370"/>
      <c r="P110" s="370"/>
      <c r="Q110" s="370"/>
      <c r="R110" s="370"/>
      <c r="S110" s="51"/>
      <c r="T110" s="51">
        <v>1</v>
      </c>
      <c r="U110" s="51">
        <v>24</v>
      </c>
      <c r="V110" s="51"/>
      <c r="W110" s="51"/>
      <c r="X110" s="51">
        <f>IFERROR(_xlfn.XLOOKUP($B110,社保汇总表!C:C,社保汇总表!F:F),0)</f>
        <v>470.29</v>
      </c>
      <c r="Y110" s="51"/>
      <c r="Z110" s="51"/>
      <c r="AA110" s="382" t="s">
        <v>269</v>
      </c>
      <c r="AB110" s="370"/>
    </row>
    <row r="111" s="349" customFormat="1" ht="22" customHeight="1" spans="1:29">
      <c r="A111" s="370">
        <v>109</v>
      </c>
      <c r="B111" s="378" t="s">
        <v>271</v>
      </c>
      <c r="C111" s="370">
        <v>4</v>
      </c>
      <c r="D111" s="370" t="s">
        <v>272</v>
      </c>
      <c r="E111" s="370" t="s">
        <v>69</v>
      </c>
      <c r="F111" s="371">
        <v>43671</v>
      </c>
      <c r="G111" s="51">
        <v>24</v>
      </c>
      <c r="H111" s="51">
        <v>23</v>
      </c>
      <c r="I111" s="51"/>
      <c r="J111" s="51"/>
      <c r="K111" s="51"/>
      <c r="L111" s="51"/>
      <c r="M111" s="370"/>
      <c r="N111" s="370"/>
      <c r="O111" s="370"/>
      <c r="P111" s="370"/>
      <c r="Q111" s="370"/>
      <c r="R111" s="370"/>
      <c r="S111" s="370"/>
      <c r="T111" s="51">
        <v>1</v>
      </c>
      <c r="U111" s="51">
        <v>24</v>
      </c>
      <c r="V111" s="370"/>
      <c r="W111" s="370"/>
      <c r="X111" s="51">
        <v>570.48</v>
      </c>
      <c r="Y111" s="51">
        <v>125</v>
      </c>
      <c r="Z111" s="51"/>
      <c r="AA111" s="305"/>
      <c r="AB111" s="370"/>
    </row>
    <row r="112" s="349" customFormat="1" ht="22" customHeight="1" spans="1:29">
      <c r="A112" s="370">
        <v>110</v>
      </c>
      <c r="B112" s="378" t="s">
        <v>274</v>
      </c>
      <c r="C112" s="370">
        <v>4</v>
      </c>
      <c r="D112" s="370" t="s">
        <v>272</v>
      </c>
      <c r="E112" s="370" t="s">
        <v>69</v>
      </c>
      <c r="F112" s="371">
        <v>43864</v>
      </c>
      <c r="G112" s="51">
        <v>24</v>
      </c>
      <c r="H112" s="51">
        <v>23</v>
      </c>
      <c r="I112" s="51"/>
      <c r="J112" s="51"/>
      <c r="K112" s="51"/>
      <c r="L112" s="51"/>
      <c r="M112" s="370"/>
      <c r="N112" s="370"/>
      <c r="O112" s="370"/>
      <c r="P112" s="370"/>
      <c r="Q112" s="370"/>
      <c r="R112" s="370"/>
      <c r="S112" s="370"/>
      <c r="T112" s="51">
        <v>1</v>
      </c>
      <c r="U112" s="51">
        <v>24</v>
      </c>
      <c r="V112" s="370"/>
      <c r="W112" s="370"/>
      <c r="X112" s="51">
        <v>570.48</v>
      </c>
      <c r="Y112" s="51">
        <v>125</v>
      </c>
      <c r="Z112" s="51"/>
      <c r="AA112" s="382"/>
      <c r="AB112" s="370"/>
    </row>
    <row r="113" s="349" customFormat="1" ht="22" customHeight="1" spans="1:28">
      <c r="A113" s="370">
        <v>111</v>
      </c>
      <c r="B113" s="378" t="s">
        <v>276</v>
      </c>
      <c r="C113" s="370">
        <v>4</v>
      </c>
      <c r="D113" s="319" t="s">
        <v>272</v>
      </c>
      <c r="E113" s="370" t="s">
        <v>69</v>
      </c>
      <c r="F113" s="371">
        <v>45444</v>
      </c>
      <c r="G113" s="51">
        <v>24</v>
      </c>
      <c r="H113" s="51">
        <v>23</v>
      </c>
      <c r="I113" s="51"/>
      <c r="J113" s="51"/>
      <c r="K113" s="51"/>
      <c r="L113" s="51"/>
      <c r="M113" s="319"/>
      <c r="N113" s="319"/>
      <c r="O113" s="319"/>
      <c r="P113" s="319"/>
      <c r="Q113" s="319"/>
      <c r="R113" s="384"/>
      <c r="S113" s="384"/>
      <c r="T113" s="51">
        <v>1</v>
      </c>
      <c r="U113" s="51">
        <v>24</v>
      </c>
      <c r="V113" s="385"/>
      <c r="W113" s="319"/>
      <c r="X113" s="51">
        <v>570.48</v>
      </c>
      <c r="Y113" s="51">
        <v>250</v>
      </c>
      <c r="Z113" s="51"/>
      <c r="AA113" s="386"/>
      <c r="AB113" s="370"/>
    </row>
    <row r="114" s="349" customFormat="1" customHeight="1" spans="1:28">
      <c r="A114" s="387"/>
      <c r="B114" s="388"/>
      <c r="C114" s="389"/>
      <c r="D114" s="389"/>
      <c r="E114" s="389"/>
      <c r="F114" s="389"/>
      <c r="G114" s="389"/>
      <c r="H114" s="388"/>
      <c r="I114" s="388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  <c r="T114" s="389"/>
      <c r="U114" s="390"/>
      <c r="V114" s="389"/>
      <c r="W114" s="389"/>
      <c r="X114" s="389">
        <f>SUM(X3:X113)</f>
        <v>44829.29</v>
      </c>
      <c r="Y114" s="389">
        <f>SUM(Y3:Y113)</f>
        <v>13589</v>
      </c>
      <c r="Z114" s="391"/>
      <c r="AA114" s="392"/>
    </row>
    <row r="115" s="349" customFormat="1" customHeight="1" spans="1:28">
      <c r="A115" s="393"/>
      <c r="B115" s="270"/>
      <c r="H115" s="270"/>
      <c r="I115" s="270"/>
      <c r="U115" s="352"/>
      <c r="Y115" s="394"/>
      <c r="Z115" s="395"/>
      <c r="AA115" s="396"/>
    </row>
    <row r="116" customHeight="1" spans="1:28">
      <c r="H116" s="349"/>
      <c r="I116" s="349"/>
      <c r="U116" s="349"/>
      <c r="Z116" s="349"/>
      <c r="AA116" s="349"/>
    </row>
    <row r="117" customHeight="1" spans="1:28">
      <c r="H117" s="349"/>
      <c r="I117" s="349"/>
      <c r="U117" s="349"/>
      <c r="Z117" s="349"/>
      <c r="AA117" s="349"/>
    </row>
    <row r="118" customHeight="1" spans="1:28">
      <c r="H118" s="349"/>
      <c r="I118" s="349"/>
      <c r="U118" s="349"/>
    </row>
  </sheetData>
  <mergeCells count="25">
    <mergeCell ref="X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A1:AA2"/>
    <mergeCell ref="AB1:AB2"/>
  </mergeCells>
  <conditionalFormatting sqref="AB3">
    <cfRule type="cellIs" dxfId="1" priority="1" operator="greaterThanOrEqual">
      <formula>20</formula>
    </cfRule>
  </conditionalFormatting>
  <conditionalFormatting sqref="B26">
    <cfRule type="duplicateValues" dxfId="0" priority="2"/>
  </conditionalFormatting>
  <conditionalFormatting sqref="B30">
    <cfRule type="duplicateValues" dxfId="0" priority="4"/>
  </conditionalFormatting>
  <conditionalFormatting sqref="B64">
    <cfRule type="duplicateValues" dxfId="0" priority="9"/>
  </conditionalFormatting>
  <conditionalFormatting sqref="B79">
    <cfRule type="duplicateValues" dxfId="0" priority="3"/>
  </conditionalFormatting>
  <conditionalFormatting sqref="B99">
    <cfRule type="duplicateValues" dxfId="0" priority="8"/>
  </conditionalFormatting>
  <conditionalFormatting sqref="B100">
    <cfRule type="duplicateValues" dxfId="0" priority="11"/>
  </conditionalFormatting>
  <conditionalFormatting sqref="AB1:AB2 AB4:AB1048576">
    <cfRule type="cellIs" dxfId="1" priority="5" operator="greaterThanOrEqual">
      <formula>20</formula>
    </cfRule>
  </conditionalFormatting>
  <conditionalFormatting sqref="B63 B98">
    <cfRule type="duplicateValues" dxfId="0" priority="10"/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3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S5" sqref="S5"/>
    </sheetView>
  </sheetViews>
  <sheetFormatPr defaultColWidth="9" defaultRowHeight="14.25"/>
  <cols>
    <col min="1" max="2" width="10.6333333333333" style="322" customWidth="1"/>
    <col min="3" max="32" width="8.63333333333333" style="322" customWidth="1"/>
    <col min="33" max="34" width="10.6333333333333" style="322" customWidth="1"/>
    <col min="35" max="35" width="10.6333333333333" style="323" customWidth="1"/>
    <col min="36" max="50" width="10.6333333333333" style="322" customWidth="1"/>
    <col min="51" max="51" width="73.6333333333333" style="324" customWidth="1"/>
    <col min="52" max="52" width="20" style="325" customWidth="1"/>
    <col min="53" max="16381" width="9" style="321"/>
    <col min="16382" max="16384" width="9" style="326"/>
  </cols>
  <sheetData>
    <row r="1" s="321" customFormat="1" ht="60" customHeight="1" spans="1:56">
      <c r="A1" s="327" t="s">
        <v>1</v>
      </c>
      <c r="B1" s="327" t="s">
        <v>4</v>
      </c>
      <c r="C1" s="327" t="s">
        <v>283</v>
      </c>
      <c r="D1" s="327" t="s">
        <v>284</v>
      </c>
      <c r="E1" s="327" t="s">
        <v>285</v>
      </c>
      <c r="F1" s="327" t="s">
        <v>286</v>
      </c>
      <c r="G1" s="327" t="s">
        <v>287</v>
      </c>
      <c r="H1" s="327" t="s">
        <v>288</v>
      </c>
      <c r="I1" s="327" t="s">
        <v>289</v>
      </c>
      <c r="J1" s="327" t="s">
        <v>290</v>
      </c>
      <c r="K1" s="327" t="s">
        <v>291</v>
      </c>
      <c r="L1" s="327" t="s">
        <v>292</v>
      </c>
      <c r="M1" s="327" t="s">
        <v>293</v>
      </c>
      <c r="N1" s="327" t="s">
        <v>294</v>
      </c>
      <c r="O1" s="327" t="s">
        <v>295</v>
      </c>
      <c r="P1" s="327" t="s">
        <v>296</v>
      </c>
      <c r="Q1" s="327" t="s">
        <v>297</v>
      </c>
      <c r="R1" s="327" t="s">
        <v>298</v>
      </c>
      <c r="S1" s="327" t="s">
        <v>299</v>
      </c>
      <c r="T1" s="327" t="s">
        <v>300</v>
      </c>
      <c r="U1" s="327" t="s">
        <v>301</v>
      </c>
      <c r="V1" s="327" t="s">
        <v>302</v>
      </c>
      <c r="W1" s="327" t="s">
        <v>303</v>
      </c>
      <c r="X1" s="327" t="s">
        <v>304</v>
      </c>
      <c r="Y1" s="327" t="s">
        <v>305</v>
      </c>
      <c r="Z1" s="327" t="s">
        <v>306</v>
      </c>
      <c r="AA1" s="327" t="s">
        <v>307</v>
      </c>
      <c r="AB1" s="327" t="s">
        <v>308</v>
      </c>
      <c r="AC1" s="327" t="s">
        <v>309</v>
      </c>
      <c r="AD1" s="327" t="s">
        <v>310</v>
      </c>
      <c r="AE1" s="327" t="s">
        <v>311</v>
      </c>
      <c r="AF1" s="327" t="s">
        <v>312</v>
      </c>
      <c r="AG1" s="328" t="s">
        <v>1</v>
      </c>
      <c r="AH1" s="329" t="s">
        <v>6</v>
      </c>
      <c r="AI1" s="330" t="s">
        <v>7</v>
      </c>
      <c r="AJ1" s="328" t="s">
        <v>8</v>
      </c>
      <c r="AK1" s="328" t="s">
        <v>9</v>
      </c>
      <c r="AL1" s="328" t="s">
        <v>10</v>
      </c>
      <c r="AM1" s="328" t="s">
        <v>11</v>
      </c>
      <c r="AN1" s="328" t="s">
        <v>12</v>
      </c>
      <c r="AO1" s="328" t="s">
        <v>13</v>
      </c>
      <c r="AP1" s="328" t="s">
        <v>14</v>
      </c>
      <c r="AQ1" s="328" t="s">
        <v>15</v>
      </c>
      <c r="AR1" s="328" t="s">
        <v>16</v>
      </c>
      <c r="AS1" s="328" t="s">
        <v>313</v>
      </c>
      <c r="AT1" s="328" t="s">
        <v>18</v>
      </c>
      <c r="AU1" s="329" t="s">
        <v>19</v>
      </c>
      <c r="AV1" s="331" t="s">
        <v>20</v>
      </c>
      <c r="AW1" s="329" t="s">
        <v>21</v>
      </c>
      <c r="AX1" s="329" t="s">
        <v>24</v>
      </c>
      <c r="AY1" s="329" t="s">
        <v>23</v>
      </c>
      <c r="AZ1" s="332" t="s">
        <v>279</v>
      </c>
    </row>
    <row r="2" s="321" customFormat="1" ht="70" customHeight="1" spans="1:56">
      <c r="A2" s="333" t="s">
        <v>87</v>
      </c>
      <c r="B2" s="333" t="s">
        <v>314</v>
      </c>
      <c r="C2" s="334" t="s">
        <v>315</v>
      </c>
      <c r="D2" s="335" t="s">
        <v>316</v>
      </c>
      <c r="E2" s="335" t="s">
        <v>317</v>
      </c>
      <c r="F2" s="335" t="s">
        <v>318</v>
      </c>
      <c r="G2" s="335" t="s">
        <v>319</v>
      </c>
      <c r="H2" s="335"/>
      <c r="I2" s="335" t="s">
        <v>320</v>
      </c>
      <c r="J2" s="335" t="s">
        <v>321</v>
      </c>
      <c r="K2" s="335" t="s">
        <v>322</v>
      </c>
      <c r="L2" s="335" t="s">
        <v>323</v>
      </c>
      <c r="M2" s="335"/>
      <c r="N2" s="335"/>
      <c r="O2" s="335" t="s">
        <v>324</v>
      </c>
      <c r="P2" s="335" t="s">
        <v>325</v>
      </c>
      <c r="Q2" s="335" t="s">
        <v>321</v>
      </c>
      <c r="R2" s="335" t="s">
        <v>326</v>
      </c>
      <c r="S2" s="335" t="s">
        <v>327</v>
      </c>
      <c r="T2" s="335" t="s">
        <v>328</v>
      </c>
      <c r="U2" s="335"/>
      <c r="V2" s="336" t="s">
        <v>329</v>
      </c>
      <c r="W2" s="335" t="s">
        <v>330</v>
      </c>
      <c r="X2" s="335" t="s">
        <v>331</v>
      </c>
      <c r="Y2" s="335" t="s">
        <v>332</v>
      </c>
      <c r="Z2" s="335" t="s">
        <v>333</v>
      </c>
      <c r="AA2" s="335"/>
      <c r="AB2" s="335"/>
      <c r="AC2" s="335" t="s">
        <v>334</v>
      </c>
      <c r="AD2" s="335" t="s">
        <v>335</v>
      </c>
      <c r="AE2" s="335" t="s">
        <v>336</v>
      </c>
      <c r="AF2" s="335" t="s">
        <v>337</v>
      </c>
      <c r="AG2" s="337" t="s">
        <v>87</v>
      </c>
      <c r="AH2" s="338">
        <v>24</v>
      </c>
      <c r="AI2" s="338">
        <v>22</v>
      </c>
      <c r="AJ2" s="333"/>
      <c r="AK2" s="333"/>
      <c r="AL2" s="339"/>
      <c r="AM2" s="339"/>
      <c r="AN2" s="339">
        <v>1</v>
      </c>
      <c r="AO2" s="339"/>
      <c r="AP2" s="339"/>
      <c r="AQ2" s="339"/>
      <c r="AR2" s="339"/>
      <c r="AS2" s="339"/>
      <c r="AT2" s="339"/>
      <c r="AU2" s="339">
        <v>1</v>
      </c>
      <c r="AV2" s="339">
        <v>24</v>
      </c>
      <c r="AW2" s="339"/>
      <c r="AX2" s="333">
        <v>200</v>
      </c>
      <c r="AY2" s="340" t="s">
        <v>338</v>
      </c>
      <c r="AZ2" s="337">
        <v>26.5</v>
      </c>
      <c r="BA2" s="291"/>
      <c r="BB2" s="291"/>
      <c r="BC2" s="291"/>
      <c r="BD2" s="291"/>
    </row>
    <row r="3" s="321" customFormat="1" ht="70" customHeight="1" spans="1:56">
      <c r="A3" s="333" t="s">
        <v>26</v>
      </c>
      <c r="B3" s="333" t="s">
        <v>28</v>
      </c>
      <c r="C3" s="334" t="s">
        <v>339</v>
      </c>
      <c r="D3" s="335" t="s">
        <v>340</v>
      </c>
      <c r="E3" s="335" t="s">
        <v>341</v>
      </c>
      <c r="F3" s="335" t="s">
        <v>342</v>
      </c>
      <c r="G3" s="335" t="s">
        <v>319</v>
      </c>
      <c r="H3" s="335"/>
      <c r="I3" s="335" t="s">
        <v>343</v>
      </c>
      <c r="J3" s="335" t="s">
        <v>344</v>
      </c>
      <c r="K3" s="335" t="s">
        <v>345</v>
      </c>
      <c r="L3" s="335" t="s">
        <v>346</v>
      </c>
      <c r="M3" s="335"/>
      <c r="N3" s="335"/>
      <c r="O3" s="335" t="s">
        <v>347</v>
      </c>
      <c r="P3" s="335" t="s">
        <v>348</v>
      </c>
      <c r="Q3" s="335" t="s">
        <v>349</v>
      </c>
      <c r="R3" s="335" t="s">
        <v>350</v>
      </c>
      <c r="S3" s="335" t="s">
        <v>351</v>
      </c>
      <c r="T3" s="335" t="s">
        <v>352</v>
      </c>
      <c r="U3" s="335"/>
      <c r="V3" s="336" t="s">
        <v>329</v>
      </c>
      <c r="W3" s="335" t="s">
        <v>330</v>
      </c>
      <c r="X3" s="335" t="s">
        <v>353</v>
      </c>
      <c r="Y3" s="335" t="s">
        <v>354</v>
      </c>
      <c r="Z3" s="335" t="s">
        <v>355</v>
      </c>
      <c r="AA3" s="335"/>
      <c r="AB3" s="335"/>
      <c r="AC3" s="335" t="s">
        <v>356</v>
      </c>
      <c r="AD3" s="335" t="s">
        <v>357</v>
      </c>
      <c r="AE3" s="335" t="s">
        <v>358</v>
      </c>
      <c r="AF3" s="335" t="s">
        <v>359</v>
      </c>
      <c r="AG3" s="337" t="s">
        <v>26</v>
      </c>
      <c r="AH3" s="338">
        <v>24</v>
      </c>
      <c r="AI3" s="338">
        <v>22</v>
      </c>
      <c r="AJ3" s="333"/>
      <c r="AK3" s="333"/>
      <c r="AL3" s="339"/>
      <c r="AM3" s="339"/>
      <c r="AN3" s="339">
        <v>1</v>
      </c>
      <c r="AO3" s="339"/>
      <c r="AP3" s="339"/>
      <c r="AQ3" s="339"/>
      <c r="AR3" s="339"/>
      <c r="AS3" s="339"/>
      <c r="AT3" s="339"/>
      <c r="AU3" s="339">
        <v>1</v>
      </c>
      <c r="AV3" s="339">
        <v>24</v>
      </c>
      <c r="AW3" s="339"/>
      <c r="AX3" s="333">
        <v>200</v>
      </c>
      <c r="AY3" s="340" t="s">
        <v>338</v>
      </c>
      <c r="AZ3" s="337">
        <v>20</v>
      </c>
      <c r="BA3" s="291"/>
      <c r="BB3" s="291"/>
      <c r="BC3" s="291"/>
      <c r="BD3" s="291"/>
    </row>
    <row r="4" s="321" customFormat="1" ht="70" customHeight="1" spans="1:56">
      <c r="A4" s="333" t="s">
        <v>56</v>
      </c>
      <c r="B4" s="333" t="s">
        <v>57</v>
      </c>
      <c r="C4" s="341" t="s">
        <v>329</v>
      </c>
      <c r="D4" s="335" t="s">
        <v>360</v>
      </c>
      <c r="E4" s="335" t="s">
        <v>361</v>
      </c>
      <c r="F4" s="335" t="s">
        <v>362</v>
      </c>
      <c r="G4" s="335" t="s">
        <v>319</v>
      </c>
      <c r="H4" s="335"/>
      <c r="I4" s="335" t="s">
        <v>363</v>
      </c>
      <c r="J4" s="335" t="s">
        <v>364</v>
      </c>
      <c r="K4" s="335" t="s">
        <v>365</v>
      </c>
      <c r="L4" s="335" t="s">
        <v>366</v>
      </c>
      <c r="M4" s="335"/>
      <c r="N4" s="335"/>
      <c r="O4" s="335" t="s">
        <v>367</v>
      </c>
      <c r="P4" s="335" t="s">
        <v>327</v>
      </c>
      <c r="Q4" s="335" t="s">
        <v>368</v>
      </c>
      <c r="R4" s="335" t="s">
        <v>369</v>
      </c>
      <c r="S4" s="335" t="s">
        <v>370</v>
      </c>
      <c r="T4" s="335" t="s">
        <v>371</v>
      </c>
      <c r="U4" s="335"/>
      <c r="V4" s="335" t="s">
        <v>372</v>
      </c>
      <c r="W4" s="335" t="s">
        <v>373</v>
      </c>
      <c r="X4" s="335" t="s">
        <v>374</v>
      </c>
      <c r="Y4" s="335" t="s">
        <v>375</v>
      </c>
      <c r="Z4" s="335" t="s">
        <v>376</v>
      </c>
      <c r="AA4" s="335"/>
      <c r="AB4" s="335"/>
      <c r="AC4" s="335" t="s">
        <v>377</v>
      </c>
      <c r="AD4" s="335" t="s">
        <v>378</v>
      </c>
      <c r="AE4" s="335" t="s">
        <v>379</v>
      </c>
      <c r="AF4" s="335" t="s">
        <v>375</v>
      </c>
      <c r="AG4" s="337" t="s">
        <v>56</v>
      </c>
      <c r="AH4" s="338">
        <v>24</v>
      </c>
      <c r="AI4" s="338">
        <v>22</v>
      </c>
      <c r="AJ4" s="333"/>
      <c r="AK4" s="333"/>
      <c r="AL4" s="339"/>
      <c r="AM4" s="339"/>
      <c r="AN4" s="339">
        <v>1</v>
      </c>
      <c r="AO4" s="339"/>
      <c r="AP4" s="339"/>
      <c r="AQ4" s="339"/>
      <c r="AR4" s="339"/>
      <c r="AS4" s="339"/>
      <c r="AT4" s="339"/>
      <c r="AU4" s="339">
        <v>1</v>
      </c>
      <c r="AV4" s="339">
        <v>24</v>
      </c>
      <c r="AW4" s="339"/>
      <c r="AX4" s="333">
        <v>200</v>
      </c>
      <c r="AY4" s="340" t="s">
        <v>380</v>
      </c>
      <c r="AZ4" s="337">
        <v>0</v>
      </c>
      <c r="BA4" s="291"/>
      <c r="BB4" s="291"/>
      <c r="BC4" s="291"/>
      <c r="BD4" s="291"/>
    </row>
    <row r="5" s="321" customFormat="1" ht="70" customHeight="1" spans="1:56">
      <c r="A5" s="333" t="s">
        <v>59</v>
      </c>
      <c r="B5" s="333" t="s">
        <v>57</v>
      </c>
      <c r="C5" s="334" t="s">
        <v>381</v>
      </c>
      <c r="D5" s="335" t="s">
        <v>382</v>
      </c>
      <c r="E5" s="335" t="s">
        <v>383</v>
      </c>
      <c r="F5" s="335" t="s">
        <v>384</v>
      </c>
      <c r="G5" s="335" t="s">
        <v>319</v>
      </c>
      <c r="H5" s="335"/>
      <c r="I5" s="335" t="s">
        <v>385</v>
      </c>
      <c r="J5" s="335" t="s">
        <v>386</v>
      </c>
      <c r="K5" s="335" t="s">
        <v>387</v>
      </c>
      <c r="L5" s="336" t="s">
        <v>388</v>
      </c>
      <c r="M5" s="335"/>
      <c r="N5" s="335"/>
      <c r="O5" s="335" t="s">
        <v>389</v>
      </c>
      <c r="P5" s="335" t="s">
        <v>390</v>
      </c>
      <c r="Q5" s="335" t="s">
        <v>391</v>
      </c>
      <c r="R5" s="335" t="s">
        <v>381</v>
      </c>
      <c r="S5" s="335" t="s">
        <v>390</v>
      </c>
      <c r="T5" s="336" t="s">
        <v>392</v>
      </c>
      <c r="U5" s="335" t="s">
        <v>393</v>
      </c>
      <c r="V5" s="335" t="s">
        <v>393</v>
      </c>
      <c r="W5" s="335" t="s">
        <v>393</v>
      </c>
      <c r="X5" s="335" t="s">
        <v>393</v>
      </c>
      <c r="Y5" s="335" t="s">
        <v>393</v>
      </c>
      <c r="Z5" s="335" t="s">
        <v>393</v>
      </c>
      <c r="AA5" s="335" t="s">
        <v>393</v>
      </c>
      <c r="AB5" s="335" t="s">
        <v>393</v>
      </c>
      <c r="AC5" s="335" t="s">
        <v>393</v>
      </c>
      <c r="AD5" s="335" t="s">
        <v>393</v>
      </c>
      <c r="AE5" s="335" t="s">
        <v>393</v>
      </c>
      <c r="AF5" s="335" t="s">
        <v>393</v>
      </c>
      <c r="AG5" s="342" t="s">
        <v>59</v>
      </c>
      <c r="AH5" s="338">
        <v>24</v>
      </c>
      <c r="AI5" s="333">
        <v>13</v>
      </c>
      <c r="AJ5" s="333"/>
      <c r="AK5" s="333"/>
      <c r="AL5" s="339"/>
      <c r="AM5" s="339">
        <v>1</v>
      </c>
      <c r="AN5" s="339"/>
      <c r="AO5" s="339"/>
      <c r="AP5" s="339"/>
      <c r="AQ5" s="339"/>
      <c r="AR5" s="339"/>
      <c r="AS5" s="339"/>
      <c r="AT5" s="339"/>
      <c r="AU5" s="339">
        <v>1</v>
      </c>
      <c r="AV5" s="339">
        <v>14</v>
      </c>
      <c r="AW5" s="339"/>
      <c r="AX5" s="333"/>
      <c r="AY5" s="340" t="s">
        <v>394</v>
      </c>
      <c r="AZ5" s="337">
        <v>0</v>
      </c>
      <c r="BA5" s="291"/>
      <c r="BB5" s="291"/>
      <c r="BC5" s="291"/>
      <c r="BD5" s="291"/>
    </row>
    <row r="6" s="321" customFormat="1" ht="70" customHeight="1" spans="1:56">
      <c r="A6" s="333" t="s">
        <v>45</v>
      </c>
      <c r="B6" s="333" t="s">
        <v>46</v>
      </c>
      <c r="C6" s="334" t="s">
        <v>395</v>
      </c>
      <c r="D6" s="335" t="s">
        <v>396</v>
      </c>
      <c r="E6" s="335" t="s">
        <v>397</v>
      </c>
      <c r="F6" s="335" t="s">
        <v>398</v>
      </c>
      <c r="G6" s="335" t="s">
        <v>319</v>
      </c>
      <c r="H6" s="335"/>
      <c r="I6" s="335" t="s">
        <v>399</v>
      </c>
      <c r="J6" s="335" t="s">
        <v>400</v>
      </c>
      <c r="K6" s="335" t="s">
        <v>401</v>
      </c>
      <c r="L6" s="335" t="s">
        <v>402</v>
      </c>
      <c r="M6" s="335"/>
      <c r="N6" s="335"/>
      <c r="O6" s="335" t="s">
        <v>403</v>
      </c>
      <c r="P6" s="335" t="s">
        <v>404</v>
      </c>
      <c r="Q6" s="335" t="s">
        <v>405</v>
      </c>
      <c r="R6" s="335" t="s">
        <v>406</v>
      </c>
      <c r="S6" s="335" t="s">
        <v>407</v>
      </c>
      <c r="T6" s="335" t="s">
        <v>408</v>
      </c>
      <c r="U6" s="335"/>
      <c r="V6" s="335" t="s">
        <v>409</v>
      </c>
      <c r="W6" s="335" t="s">
        <v>410</v>
      </c>
      <c r="X6" s="335" t="s">
        <v>411</v>
      </c>
      <c r="Y6" s="335" t="s">
        <v>412</v>
      </c>
      <c r="Z6" s="336" t="s">
        <v>329</v>
      </c>
      <c r="AA6" s="335"/>
      <c r="AB6" s="335"/>
      <c r="AC6" s="335" t="s">
        <v>413</v>
      </c>
      <c r="AD6" s="335" t="s">
        <v>414</v>
      </c>
      <c r="AE6" s="335" t="s">
        <v>415</v>
      </c>
      <c r="AF6" s="335" t="s">
        <v>416</v>
      </c>
      <c r="AG6" s="337" t="s">
        <v>45</v>
      </c>
      <c r="AH6" s="338">
        <v>24</v>
      </c>
      <c r="AI6" s="338">
        <v>22</v>
      </c>
      <c r="AJ6" s="333"/>
      <c r="AK6" s="333"/>
      <c r="AL6" s="339"/>
      <c r="AM6" s="339"/>
      <c r="AN6" s="339">
        <v>1</v>
      </c>
      <c r="AO6" s="339"/>
      <c r="AP6" s="339"/>
      <c r="AQ6" s="339"/>
      <c r="AR6" s="339"/>
      <c r="AS6" s="339"/>
      <c r="AT6" s="339"/>
      <c r="AU6" s="339">
        <v>1</v>
      </c>
      <c r="AV6" s="339">
        <v>24</v>
      </c>
      <c r="AW6" s="339"/>
      <c r="AX6" s="333">
        <v>200</v>
      </c>
      <c r="AY6" s="340" t="s">
        <v>417</v>
      </c>
      <c r="AZ6" s="337">
        <v>0.5</v>
      </c>
      <c r="BA6" s="291"/>
      <c r="BB6" s="291"/>
      <c r="BC6" s="291"/>
      <c r="BD6" s="291"/>
    </row>
    <row r="7" s="321" customFormat="1" ht="70" customHeight="1" spans="1:56">
      <c r="A7" s="333" t="s">
        <v>50</v>
      </c>
      <c r="B7" s="333" t="s">
        <v>46</v>
      </c>
      <c r="C7" s="334" t="s">
        <v>418</v>
      </c>
      <c r="D7" s="335" t="s">
        <v>419</v>
      </c>
      <c r="E7" s="335" t="s">
        <v>420</v>
      </c>
      <c r="F7" s="335" t="s">
        <v>421</v>
      </c>
      <c r="G7" s="335" t="s">
        <v>319</v>
      </c>
      <c r="H7" s="335"/>
      <c r="I7" s="335" t="s">
        <v>422</v>
      </c>
      <c r="J7" s="335" t="s">
        <v>423</v>
      </c>
      <c r="K7" s="335" t="s">
        <v>424</v>
      </c>
      <c r="L7" s="335" t="s">
        <v>425</v>
      </c>
      <c r="M7" s="335"/>
      <c r="N7" s="335"/>
      <c r="O7" s="335" t="s">
        <v>426</v>
      </c>
      <c r="P7" s="335" t="s">
        <v>427</v>
      </c>
      <c r="Q7" s="335" t="s">
        <v>428</v>
      </c>
      <c r="R7" s="335" t="s">
        <v>429</v>
      </c>
      <c r="S7" s="335" t="s">
        <v>430</v>
      </c>
      <c r="T7" s="335" t="s">
        <v>431</v>
      </c>
      <c r="U7" s="335"/>
      <c r="V7" s="335" t="s">
        <v>432</v>
      </c>
      <c r="W7" s="335" t="s">
        <v>428</v>
      </c>
      <c r="X7" s="335" t="s">
        <v>433</v>
      </c>
      <c r="Y7" s="335" t="s">
        <v>434</v>
      </c>
      <c r="Z7" s="335" t="s">
        <v>435</v>
      </c>
      <c r="AA7" s="335"/>
      <c r="AB7" s="335"/>
      <c r="AC7" s="335" t="s">
        <v>436</v>
      </c>
      <c r="AD7" s="335" t="s">
        <v>437</v>
      </c>
      <c r="AE7" s="335" t="s">
        <v>429</v>
      </c>
      <c r="AF7" s="335" t="s">
        <v>438</v>
      </c>
      <c r="AG7" s="337" t="s">
        <v>50</v>
      </c>
      <c r="AH7" s="338">
        <v>24</v>
      </c>
      <c r="AI7" s="338">
        <v>23</v>
      </c>
      <c r="AJ7" s="333"/>
      <c r="AK7" s="333"/>
      <c r="AL7" s="339"/>
      <c r="AM7" s="339"/>
      <c r="AN7" s="339"/>
      <c r="AO7" s="339"/>
      <c r="AP7" s="339"/>
      <c r="AQ7" s="339"/>
      <c r="AR7" s="339"/>
      <c r="AS7" s="339"/>
      <c r="AT7" s="339"/>
      <c r="AU7" s="339">
        <v>1</v>
      </c>
      <c r="AV7" s="339">
        <v>24</v>
      </c>
      <c r="AW7" s="339"/>
      <c r="AX7" s="333">
        <v>200</v>
      </c>
      <c r="AY7" s="340" t="s">
        <v>256</v>
      </c>
      <c r="AZ7" s="337">
        <v>0.5</v>
      </c>
      <c r="BA7" s="291"/>
      <c r="BB7" s="291"/>
      <c r="BC7" s="291"/>
      <c r="BD7" s="291"/>
    </row>
    <row r="8" s="321" customFormat="1" ht="70" customHeight="1" spans="1:56">
      <c r="A8" s="333" t="s">
        <v>48</v>
      </c>
      <c r="B8" s="333" t="s">
        <v>46</v>
      </c>
      <c r="C8" s="334" t="s">
        <v>439</v>
      </c>
      <c r="D8" s="335" t="s">
        <v>440</v>
      </c>
      <c r="E8" s="335" t="s">
        <v>441</v>
      </c>
      <c r="F8" s="335" t="s">
        <v>442</v>
      </c>
      <c r="G8" s="335" t="s">
        <v>319</v>
      </c>
      <c r="H8" s="335"/>
      <c r="I8" s="335" t="s">
        <v>443</v>
      </c>
      <c r="J8" s="335" t="s">
        <v>444</v>
      </c>
      <c r="K8" s="335" t="s">
        <v>445</v>
      </c>
      <c r="L8" s="335" t="s">
        <v>446</v>
      </c>
      <c r="M8" s="335"/>
      <c r="N8" s="335"/>
      <c r="O8" s="335" t="s">
        <v>447</v>
      </c>
      <c r="P8" s="335" t="s">
        <v>448</v>
      </c>
      <c r="Q8" s="335" t="s">
        <v>449</v>
      </c>
      <c r="R8" s="335" t="s">
        <v>450</v>
      </c>
      <c r="S8" s="335" t="s">
        <v>451</v>
      </c>
      <c r="T8" s="335" t="s">
        <v>452</v>
      </c>
      <c r="U8" s="335"/>
      <c r="V8" s="335" t="s">
        <v>453</v>
      </c>
      <c r="W8" s="335" t="s">
        <v>454</v>
      </c>
      <c r="X8" s="335" t="s">
        <v>455</v>
      </c>
      <c r="Y8" s="335" t="s">
        <v>456</v>
      </c>
      <c r="Z8" s="335" t="s">
        <v>457</v>
      </c>
      <c r="AA8" s="335"/>
      <c r="AB8" s="335"/>
      <c r="AC8" s="335" t="s">
        <v>458</v>
      </c>
      <c r="AD8" s="335" t="s">
        <v>459</v>
      </c>
      <c r="AE8" s="335" t="s">
        <v>460</v>
      </c>
      <c r="AF8" s="335" t="s">
        <v>461</v>
      </c>
      <c r="AG8" s="337" t="s">
        <v>48</v>
      </c>
      <c r="AH8" s="338">
        <v>24</v>
      </c>
      <c r="AI8" s="338">
        <v>23</v>
      </c>
      <c r="AJ8" s="333"/>
      <c r="AK8" s="333"/>
      <c r="AL8" s="339"/>
      <c r="AM8" s="339"/>
      <c r="AN8" s="339"/>
      <c r="AO8" s="339"/>
      <c r="AP8" s="339"/>
      <c r="AQ8" s="339"/>
      <c r="AR8" s="339"/>
      <c r="AS8" s="339"/>
      <c r="AT8" s="339"/>
      <c r="AU8" s="339">
        <v>1</v>
      </c>
      <c r="AV8" s="339">
        <v>24</v>
      </c>
      <c r="AW8" s="339"/>
      <c r="AX8" s="333">
        <v>200</v>
      </c>
      <c r="AY8" s="340" t="s">
        <v>256</v>
      </c>
      <c r="AZ8" s="337">
        <v>0</v>
      </c>
      <c r="BA8" s="291"/>
      <c r="BB8" s="291"/>
      <c r="BC8" s="291"/>
      <c r="BD8" s="291"/>
    </row>
    <row r="9" s="321" customFormat="1" ht="70" customHeight="1" spans="1:56">
      <c r="A9" s="333" t="s">
        <v>38</v>
      </c>
      <c r="B9" s="333" t="s">
        <v>39</v>
      </c>
      <c r="C9" s="334" t="s">
        <v>462</v>
      </c>
      <c r="D9" s="335" t="s">
        <v>463</v>
      </c>
      <c r="E9" s="335" t="s">
        <v>408</v>
      </c>
      <c r="F9" s="336" t="s">
        <v>464</v>
      </c>
      <c r="G9" s="335" t="s">
        <v>319</v>
      </c>
      <c r="H9" s="335"/>
      <c r="I9" s="335" t="s">
        <v>465</v>
      </c>
      <c r="J9" s="335" t="s">
        <v>466</v>
      </c>
      <c r="K9" s="335" t="s">
        <v>467</v>
      </c>
      <c r="L9" s="336" t="s">
        <v>468</v>
      </c>
      <c r="M9" s="335"/>
      <c r="N9" s="335"/>
      <c r="O9" s="343" t="s">
        <v>469</v>
      </c>
      <c r="P9" s="335" t="s">
        <v>470</v>
      </c>
      <c r="Q9" s="335" t="s">
        <v>465</v>
      </c>
      <c r="R9" s="335" t="s">
        <v>398</v>
      </c>
      <c r="S9" s="335" t="s">
        <v>471</v>
      </c>
      <c r="T9" s="335" t="s">
        <v>472</v>
      </c>
      <c r="U9" s="335"/>
      <c r="V9" s="335" t="s">
        <v>471</v>
      </c>
      <c r="W9" s="335" t="s">
        <v>473</v>
      </c>
      <c r="X9" s="343" t="s">
        <v>474</v>
      </c>
      <c r="Y9" s="335" t="s">
        <v>438</v>
      </c>
      <c r="Z9" s="335" t="s">
        <v>475</v>
      </c>
      <c r="AA9" s="335"/>
      <c r="AB9" s="335"/>
      <c r="AC9" s="335" t="s">
        <v>408</v>
      </c>
      <c r="AD9" s="335" t="s">
        <v>471</v>
      </c>
      <c r="AE9" s="335" t="s">
        <v>470</v>
      </c>
      <c r="AF9" s="335" t="s">
        <v>466</v>
      </c>
      <c r="AG9" s="337" t="s">
        <v>38</v>
      </c>
      <c r="AH9" s="338">
        <v>24</v>
      </c>
      <c r="AI9" s="338">
        <v>22</v>
      </c>
      <c r="AJ9" s="333">
        <v>5</v>
      </c>
      <c r="AK9" s="333"/>
      <c r="AL9" s="339"/>
      <c r="AM9" s="339">
        <v>0.44</v>
      </c>
      <c r="AN9" s="339">
        <v>0.56</v>
      </c>
      <c r="AO9" s="339"/>
      <c r="AP9" s="339"/>
      <c r="AQ9" s="339"/>
      <c r="AR9" s="339"/>
      <c r="AS9" s="339"/>
      <c r="AT9" s="339"/>
      <c r="AU9" s="339">
        <v>1</v>
      </c>
      <c r="AV9" s="339">
        <v>23.56</v>
      </c>
      <c r="AW9" s="339"/>
      <c r="AX9" s="333"/>
      <c r="AY9" s="340" t="s">
        <v>476</v>
      </c>
      <c r="AZ9" s="337">
        <v>0</v>
      </c>
      <c r="BA9" s="291"/>
      <c r="BB9" s="291"/>
      <c r="BC9" s="291"/>
      <c r="BD9" s="291"/>
    </row>
    <row r="10" s="321" customFormat="1" ht="70" customHeight="1" spans="1:56">
      <c r="A10" s="333" t="s">
        <v>63</v>
      </c>
      <c r="B10" s="333" t="s">
        <v>64</v>
      </c>
      <c r="C10" s="334" t="s">
        <v>477</v>
      </c>
      <c r="D10" s="335" t="s">
        <v>478</v>
      </c>
      <c r="E10" s="343" t="s">
        <v>479</v>
      </c>
      <c r="F10" s="335" t="s">
        <v>480</v>
      </c>
      <c r="G10" s="335" t="s">
        <v>319</v>
      </c>
      <c r="H10" s="335"/>
      <c r="I10" s="335" t="s">
        <v>481</v>
      </c>
      <c r="J10" s="335" t="s">
        <v>482</v>
      </c>
      <c r="K10" s="335" t="s">
        <v>483</v>
      </c>
      <c r="L10" s="335" t="s">
        <v>484</v>
      </c>
      <c r="M10" s="335"/>
      <c r="N10" s="335"/>
      <c r="O10" s="335" t="s">
        <v>485</v>
      </c>
      <c r="P10" s="335" t="s">
        <v>486</v>
      </c>
      <c r="Q10" s="335" t="s">
        <v>487</v>
      </c>
      <c r="R10" s="335" t="s">
        <v>488</v>
      </c>
      <c r="S10" s="335" t="s">
        <v>489</v>
      </c>
      <c r="T10" s="343" t="s">
        <v>490</v>
      </c>
      <c r="U10" s="335"/>
      <c r="V10" s="335" t="s">
        <v>404</v>
      </c>
      <c r="W10" s="335" t="s">
        <v>491</v>
      </c>
      <c r="X10" s="335" t="s">
        <v>492</v>
      </c>
      <c r="Y10" s="335" t="s">
        <v>493</v>
      </c>
      <c r="Z10" s="335" t="s">
        <v>494</v>
      </c>
      <c r="AA10" s="335"/>
      <c r="AB10" s="335"/>
      <c r="AC10" s="335" t="s">
        <v>480</v>
      </c>
      <c r="AD10" s="335" t="s">
        <v>495</v>
      </c>
      <c r="AE10" s="335" t="s">
        <v>496</v>
      </c>
      <c r="AF10" s="335" t="s">
        <v>497</v>
      </c>
      <c r="AG10" s="337" t="s">
        <v>63</v>
      </c>
      <c r="AH10" s="338">
        <v>24</v>
      </c>
      <c r="AI10" s="333">
        <v>23</v>
      </c>
      <c r="AJ10" s="333">
        <v>1</v>
      </c>
      <c r="AK10" s="333">
        <v>2</v>
      </c>
      <c r="AL10" s="339"/>
      <c r="AM10" s="339"/>
      <c r="AN10" s="339"/>
      <c r="AO10" s="339"/>
      <c r="AP10" s="339"/>
      <c r="AQ10" s="339"/>
      <c r="AR10" s="339"/>
      <c r="AS10" s="339"/>
      <c r="AT10" s="339"/>
      <c r="AU10" s="339">
        <v>1</v>
      </c>
      <c r="AV10" s="339">
        <v>24</v>
      </c>
      <c r="AW10" s="339"/>
      <c r="AX10" s="333"/>
      <c r="AY10" s="340" t="s">
        <v>498</v>
      </c>
      <c r="AZ10" s="337">
        <v>12.5</v>
      </c>
      <c r="BA10" s="291"/>
      <c r="BB10" s="291"/>
      <c r="BC10" s="291"/>
      <c r="BD10" s="291"/>
    </row>
    <row r="11" s="321" customFormat="1" ht="70" customHeight="1" spans="1:56">
      <c r="A11" s="333" t="s">
        <v>80</v>
      </c>
      <c r="B11" s="333" t="s">
        <v>499</v>
      </c>
      <c r="C11" s="341" t="s">
        <v>500</v>
      </c>
      <c r="D11" s="336" t="s">
        <v>500</v>
      </c>
      <c r="E11" s="336" t="s">
        <v>500</v>
      </c>
      <c r="F11" s="336" t="s">
        <v>500</v>
      </c>
      <c r="G11" s="336" t="s">
        <v>500</v>
      </c>
      <c r="H11" s="335"/>
      <c r="I11" s="343" t="s">
        <v>501</v>
      </c>
      <c r="J11" s="343" t="s">
        <v>502</v>
      </c>
      <c r="K11" s="343" t="s">
        <v>503</v>
      </c>
      <c r="L11" s="343" t="s">
        <v>504</v>
      </c>
      <c r="M11" s="335"/>
      <c r="N11" s="335"/>
      <c r="O11" s="343" t="s">
        <v>505</v>
      </c>
      <c r="P11" s="343" t="s">
        <v>506</v>
      </c>
      <c r="Q11" s="343" t="s">
        <v>507</v>
      </c>
      <c r="R11" s="343" t="s">
        <v>508</v>
      </c>
      <c r="S11" s="343" t="s">
        <v>509</v>
      </c>
      <c r="T11" s="343" t="s">
        <v>510</v>
      </c>
      <c r="U11" s="335"/>
      <c r="V11" s="343" t="s">
        <v>510</v>
      </c>
      <c r="W11" s="343" t="s">
        <v>511</v>
      </c>
      <c r="X11" s="343" t="s">
        <v>512</v>
      </c>
      <c r="Y11" s="336" t="s">
        <v>329</v>
      </c>
      <c r="Z11" s="343" t="s">
        <v>513</v>
      </c>
      <c r="AA11" s="335"/>
      <c r="AB11" s="335"/>
      <c r="AC11" s="343" t="s">
        <v>514</v>
      </c>
      <c r="AD11" s="343" t="s">
        <v>515</v>
      </c>
      <c r="AE11" s="343" t="s">
        <v>516</v>
      </c>
      <c r="AF11" s="343" t="s">
        <v>517</v>
      </c>
      <c r="AG11" s="337" t="s">
        <v>80</v>
      </c>
      <c r="AH11" s="338">
        <v>24</v>
      </c>
      <c r="AI11" s="333">
        <v>18</v>
      </c>
      <c r="AJ11" s="333"/>
      <c r="AK11" s="333"/>
      <c r="AL11" s="339"/>
      <c r="AM11" s="339"/>
      <c r="AN11" s="339">
        <v>1</v>
      </c>
      <c r="AO11" s="339"/>
      <c r="AP11" s="339"/>
      <c r="AQ11" s="339"/>
      <c r="AR11" s="339">
        <v>5</v>
      </c>
      <c r="AS11" s="339"/>
      <c r="AT11" s="339"/>
      <c r="AU11" s="339"/>
      <c r="AV11" s="339">
        <v>19</v>
      </c>
      <c r="AW11" s="339"/>
      <c r="AX11" s="333"/>
      <c r="AY11" s="340" t="s">
        <v>518</v>
      </c>
      <c r="AZ11" s="337">
        <v>0</v>
      </c>
      <c r="BA11" s="291"/>
      <c r="BB11" s="291"/>
      <c r="BC11" s="291"/>
      <c r="BD11" s="291"/>
    </row>
    <row r="12" s="321" customFormat="1" ht="70" customHeight="1" spans="1:56">
      <c r="A12" s="333" t="s">
        <v>41</v>
      </c>
      <c r="B12" s="333" t="s">
        <v>39</v>
      </c>
      <c r="C12" s="334" t="s">
        <v>519</v>
      </c>
      <c r="D12" s="335" t="s">
        <v>385</v>
      </c>
      <c r="E12" s="335" t="s">
        <v>520</v>
      </c>
      <c r="F12" s="336" t="s">
        <v>521</v>
      </c>
      <c r="G12" s="335" t="s">
        <v>319</v>
      </c>
      <c r="H12" s="335"/>
      <c r="I12" s="335" t="s">
        <v>520</v>
      </c>
      <c r="J12" s="335" t="s">
        <v>522</v>
      </c>
      <c r="K12" s="335" t="s">
        <v>463</v>
      </c>
      <c r="L12" s="335" t="s">
        <v>523</v>
      </c>
      <c r="M12" s="335"/>
      <c r="N12" s="335"/>
      <c r="O12" s="335" t="s">
        <v>524</v>
      </c>
      <c r="P12" s="335" t="s">
        <v>525</v>
      </c>
      <c r="Q12" s="335" t="s">
        <v>526</v>
      </c>
      <c r="R12" s="335" t="s">
        <v>527</v>
      </c>
      <c r="S12" s="335" t="s">
        <v>528</v>
      </c>
      <c r="T12" s="335" t="s">
        <v>529</v>
      </c>
      <c r="U12" s="335"/>
      <c r="V12" s="335" t="s">
        <v>381</v>
      </c>
      <c r="W12" s="335" t="s">
        <v>530</v>
      </c>
      <c r="X12" s="335" t="s">
        <v>383</v>
      </c>
      <c r="Y12" s="335" t="s">
        <v>531</v>
      </c>
      <c r="Z12" s="335" t="s">
        <v>532</v>
      </c>
      <c r="AA12" s="335"/>
      <c r="AB12" s="335"/>
      <c r="AC12" s="335" t="s">
        <v>385</v>
      </c>
      <c r="AD12" s="335" t="s">
        <v>462</v>
      </c>
      <c r="AE12" s="335" t="s">
        <v>533</v>
      </c>
      <c r="AF12" s="335" t="s">
        <v>520</v>
      </c>
      <c r="AG12" s="337" t="s">
        <v>41</v>
      </c>
      <c r="AH12" s="338">
        <v>24</v>
      </c>
      <c r="AI12" s="333">
        <v>22.44</v>
      </c>
      <c r="AJ12" s="333"/>
      <c r="AK12" s="333"/>
      <c r="AL12" s="339"/>
      <c r="AM12" s="339">
        <v>0.56</v>
      </c>
      <c r="AN12" s="339"/>
      <c r="AO12" s="339"/>
      <c r="AP12" s="339"/>
      <c r="AQ12" s="339"/>
      <c r="AR12" s="339"/>
      <c r="AS12" s="339"/>
      <c r="AT12" s="339"/>
      <c r="AU12" s="339">
        <v>1</v>
      </c>
      <c r="AV12" s="339">
        <v>23.44</v>
      </c>
      <c r="AW12" s="339"/>
      <c r="AX12" s="333"/>
      <c r="AY12" s="340" t="s">
        <v>534</v>
      </c>
      <c r="AZ12" s="337">
        <v>1</v>
      </c>
      <c r="BA12" s="291"/>
      <c r="BB12" s="291"/>
      <c r="BC12" s="291"/>
      <c r="BD12" s="291"/>
    </row>
    <row r="13" s="321" customFormat="1" ht="70" customHeight="1" spans="1:56">
      <c r="A13" s="333" t="s">
        <v>75</v>
      </c>
      <c r="B13" s="333" t="s">
        <v>499</v>
      </c>
      <c r="C13" s="334" t="s">
        <v>535</v>
      </c>
      <c r="D13" s="335" t="s">
        <v>536</v>
      </c>
      <c r="E13" s="335" t="s">
        <v>537</v>
      </c>
      <c r="F13" s="335" t="s">
        <v>538</v>
      </c>
      <c r="G13" s="335" t="s">
        <v>319</v>
      </c>
      <c r="H13" s="335"/>
      <c r="I13" s="335" t="s">
        <v>539</v>
      </c>
      <c r="J13" s="335" t="s">
        <v>540</v>
      </c>
      <c r="K13" s="335" t="s">
        <v>541</v>
      </c>
      <c r="L13" s="335" t="s">
        <v>542</v>
      </c>
      <c r="M13" s="336" t="s">
        <v>543</v>
      </c>
      <c r="N13" s="335"/>
      <c r="O13" s="335" t="s">
        <v>544</v>
      </c>
      <c r="P13" s="335" t="s">
        <v>545</v>
      </c>
      <c r="Q13" s="335" t="s">
        <v>546</v>
      </c>
      <c r="R13" s="335" t="s">
        <v>403</v>
      </c>
      <c r="S13" s="335" t="s">
        <v>547</v>
      </c>
      <c r="T13" s="335" t="s">
        <v>548</v>
      </c>
      <c r="U13" s="335"/>
      <c r="V13" s="335" t="s">
        <v>549</v>
      </c>
      <c r="W13" s="335" t="s">
        <v>550</v>
      </c>
      <c r="X13" s="335" t="s">
        <v>551</v>
      </c>
      <c r="Y13" s="335" t="s">
        <v>376</v>
      </c>
      <c r="Z13" s="335" t="s">
        <v>487</v>
      </c>
      <c r="AA13" s="335"/>
      <c r="AB13" s="335"/>
      <c r="AC13" s="335" t="s">
        <v>547</v>
      </c>
      <c r="AD13" s="335" t="s">
        <v>552</v>
      </c>
      <c r="AE13" s="335" t="s">
        <v>544</v>
      </c>
      <c r="AF13" s="335" t="s">
        <v>553</v>
      </c>
      <c r="AG13" s="337" t="s">
        <v>75</v>
      </c>
      <c r="AH13" s="338">
        <v>24</v>
      </c>
      <c r="AI13" s="338">
        <v>23</v>
      </c>
      <c r="AJ13" s="333"/>
      <c r="AK13" s="333"/>
      <c r="AL13" s="339"/>
      <c r="AM13" s="339"/>
      <c r="AN13" s="339"/>
      <c r="AO13" s="339"/>
      <c r="AP13" s="339"/>
      <c r="AQ13" s="339"/>
      <c r="AR13" s="339"/>
      <c r="AS13" s="339"/>
      <c r="AT13" s="339"/>
      <c r="AU13" s="339">
        <v>1</v>
      </c>
      <c r="AV13" s="339">
        <v>24</v>
      </c>
      <c r="AW13" s="339"/>
      <c r="AX13" s="338">
        <v>200</v>
      </c>
      <c r="AY13" s="340" t="s">
        <v>554</v>
      </c>
      <c r="AZ13" s="337">
        <v>29</v>
      </c>
      <c r="BA13" s="291"/>
      <c r="BB13" s="291"/>
      <c r="BC13" s="291"/>
      <c r="BD13" s="291"/>
    </row>
    <row r="14" s="321" customFormat="1" ht="70" customHeight="1" spans="1:56">
      <c r="A14" s="333" t="s">
        <v>78</v>
      </c>
      <c r="B14" s="333" t="s">
        <v>499</v>
      </c>
      <c r="C14" s="334" t="s">
        <v>555</v>
      </c>
      <c r="D14" s="335" t="s">
        <v>556</v>
      </c>
      <c r="E14" s="335" t="s">
        <v>557</v>
      </c>
      <c r="F14" s="335" t="s">
        <v>538</v>
      </c>
      <c r="G14" s="335" t="s">
        <v>319</v>
      </c>
      <c r="H14" s="335"/>
      <c r="I14" s="335" t="s">
        <v>539</v>
      </c>
      <c r="J14" s="335" t="s">
        <v>321</v>
      </c>
      <c r="K14" s="335" t="s">
        <v>558</v>
      </c>
      <c r="L14" s="335" t="s">
        <v>559</v>
      </c>
      <c r="M14" s="335"/>
      <c r="N14" s="335"/>
      <c r="O14" s="335" t="s">
        <v>560</v>
      </c>
      <c r="P14" s="335" t="s">
        <v>561</v>
      </c>
      <c r="Q14" s="335" t="s">
        <v>562</v>
      </c>
      <c r="R14" s="335" t="s">
        <v>563</v>
      </c>
      <c r="S14" s="335" t="s">
        <v>373</v>
      </c>
      <c r="T14" s="336" t="s">
        <v>329</v>
      </c>
      <c r="U14" s="335"/>
      <c r="V14" s="335" t="s">
        <v>564</v>
      </c>
      <c r="W14" s="335" t="s">
        <v>565</v>
      </c>
      <c r="X14" s="335" t="s">
        <v>522</v>
      </c>
      <c r="Y14" s="335" t="s">
        <v>566</v>
      </c>
      <c r="Z14" s="335" t="s">
        <v>567</v>
      </c>
      <c r="AA14" s="335"/>
      <c r="AB14" s="335"/>
      <c r="AC14" s="335" t="s">
        <v>568</v>
      </c>
      <c r="AD14" s="335" t="s">
        <v>569</v>
      </c>
      <c r="AE14" s="335" t="s">
        <v>570</v>
      </c>
      <c r="AF14" s="335" t="s">
        <v>377</v>
      </c>
      <c r="AG14" s="337" t="s">
        <v>78</v>
      </c>
      <c r="AH14" s="338">
        <v>24</v>
      </c>
      <c r="AI14" s="338">
        <v>22</v>
      </c>
      <c r="AJ14" s="333"/>
      <c r="AK14" s="333"/>
      <c r="AL14" s="339"/>
      <c r="AM14" s="339"/>
      <c r="AN14" s="339">
        <v>1</v>
      </c>
      <c r="AO14" s="339"/>
      <c r="AP14" s="339"/>
      <c r="AQ14" s="339"/>
      <c r="AR14" s="339"/>
      <c r="AS14" s="339"/>
      <c r="AT14" s="339"/>
      <c r="AU14" s="339">
        <v>1</v>
      </c>
      <c r="AV14" s="339">
        <v>24</v>
      </c>
      <c r="AW14" s="339"/>
      <c r="AX14" s="333">
        <v>200</v>
      </c>
      <c r="AY14" s="340" t="s">
        <v>571</v>
      </c>
      <c r="AZ14" s="337">
        <v>20</v>
      </c>
      <c r="BA14" s="291"/>
      <c r="BB14" s="291"/>
      <c r="BC14" s="291"/>
      <c r="BD14" s="291"/>
    </row>
    <row r="15" s="321" customFormat="1" ht="70" customHeight="1" spans="1:56">
      <c r="A15" s="333" t="s">
        <v>30</v>
      </c>
      <c r="B15" s="333" t="s">
        <v>28</v>
      </c>
      <c r="C15" s="334" t="s">
        <v>572</v>
      </c>
      <c r="D15" s="335" t="s">
        <v>572</v>
      </c>
      <c r="E15" s="336" t="s">
        <v>573</v>
      </c>
      <c r="F15" s="335" t="s">
        <v>421</v>
      </c>
      <c r="G15" s="335" t="s">
        <v>319</v>
      </c>
      <c r="H15" s="335"/>
      <c r="I15" s="335" t="s">
        <v>574</v>
      </c>
      <c r="J15" s="335" t="s">
        <v>572</v>
      </c>
      <c r="K15" s="335" t="s">
        <v>438</v>
      </c>
      <c r="L15" s="335" t="s">
        <v>575</v>
      </c>
      <c r="M15" s="335"/>
      <c r="N15" s="335"/>
      <c r="O15" s="335" t="s">
        <v>421</v>
      </c>
      <c r="P15" s="335" t="s">
        <v>576</v>
      </c>
      <c r="Q15" s="335" t="s">
        <v>577</v>
      </c>
      <c r="R15" s="335" t="s">
        <v>562</v>
      </c>
      <c r="S15" s="335" t="s">
        <v>408</v>
      </c>
      <c r="T15" s="335" t="s">
        <v>578</v>
      </c>
      <c r="U15" s="335"/>
      <c r="V15" s="335" t="s">
        <v>579</v>
      </c>
      <c r="W15" s="335" t="s">
        <v>579</v>
      </c>
      <c r="X15" s="336" t="s">
        <v>580</v>
      </c>
      <c r="Y15" s="335" t="s">
        <v>473</v>
      </c>
      <c r="Z15" s="336" t="s">
        <v>329</v>
      </c>
      <c r="AA15" s="335"/>
      <c r="AB15" s="335"/>
      <c r="AC15" s="335" t="s">
        <v>576</v>
      </c>
      <c r="AD15" s="335" t="s">
        <v>562</v>
      </c>
      <c r="AE15" s="335" t="s">
        <v>581</v>
      </c>
      <c r="AF15" s="335" t="s">
        <v>582</v>
      </c>
      <c r="AG15" s="337" t="s">
        <v>30</v>
      </c>
      <c r="AH15" s="338">
        <v>24</v>
      </c>
      <c r="AI15" s="338">
        <v>22</v>
      </c>
      <c r="AJ15" s="333"/>
      <c r="AK15" s="333"/>
      <c r="AL15" s="339"/>
      <c r="AM15" s="339"/>
      <c r="AN15" s="339">
        <v>1</v>
      </c>
      <c r="AO15" s="339"/>
      <c r="AP15" s="339"/>
      <c r="AQ15" s="339"/>
      <c r="AR15" s="339"/>
      <c r="AS15" s="339"/>
      <c r="AT15" s="339"/>
      <c r="AU15" s="339">
        <v>1</v>
      </c>
      <c r="AV15" s="339">
        <v>24</v>
      </c>
      <c r="AW15" s="339"/>
      <c r="AX15" s="333">
        <v>200</v>
      </c>
      <c r="AY15" s="340" t="s">
        <v>583</v>
      </c>
      <c r="AZ15" s="337">
        <v>0</v>
      </c>
      <c r="BA15" s="291"/>
      <c r="BB15" s="291"/>
      <c r="BC15" s="291"/>
      <c r="BD15" s="291"/>
    </row>
    <row r="16" s="321" customFormat="1" ht="70" customHeight="1" spans="1:56">
      <c r="A16" s="333" t="s">
        <v>123</v>
      </c>
      <c r="B16" s="333" t="s">
        <v>584</v>
      </c>
      <c r="C16" s="334" t="s">
        <v>585</v>
      </c>
      <c r="D16" s="335" t="s">
        <v>586</v>
      </c>
      <c r="E16" s="335" t="s">
        <v>587</v>
      </c>
      <c r="F16" s="335" t="s">
        <v>588</v>
      </c>
      <c r="G16" s="335" t="s">
        <v>319</v>
      </c>
      <c r="H16" s="335"/>
      <c r="I16" s="335" t="s">
        <v>589</v>
      </c>
      <c r="J16" s="335" t="s">
        <v>590</v>
      </c>
      <c r="K16" s="335" t="s">
        <v>591</v>
      </c>
      <c r="L16" s="335" t="s">
        <v>592</v>
      </c>
      <c r="M16" s="335"/>
      <c r="N16" s="335"/>
      <c r="O16" s="335" t="s">
        <v>593</v>
      </c>
      <c r="P16" s="335" t="s">
        <v>594</v>
      </c>
      <c r="Q16" s="335" t="s">
        <v>595</v>
      </c>
      <c r="R16" s="335" t="s">
        <v>596</v>
      </c>
      <c r="S16" s="335" t="s">
        <v>597</v>
      </c>
      <c r="T16" s="335" t="s">
        <v>598</v>
      </c>
      <c r="U16" s="335"/>
      <c r="V16" s="335" t="s">
        <v>599</v>
      </c>
      <c r="W16" s="335" t="s">
        <v>600</v>
      </c>
      <c r="X16" s="335" t="s">
        <v>601</v>
      </c>
      <c r="Y16" s="335" t="s">
        <v>602</v>
      </c>
      <c r="Z16" s="335" t="s">
        <v>603</v>
      </c>
      <c r="AA16" s="335"/>
      <c r="AB16" s="335"/>
      <c r="AC16" s="335" t="s">
        <v>604</v>
      </c>
      <c r="AD16" s="335" t="s">
        <v>605</v>
      </c>
      <c r="AE16" s="335" t="s">
        <v>606</v>
      </c>
      <c r="AF16" s="335" t="s">
        <v>522</v>
      </c>
      <c r="AG16" s="337" t="s">
        <v>123</v>
      </c>
      <c r="AH16" s="338">
        <v>24</v>
      </c>
      <c r="AI16" s="338">
        <v>23</v>
      </c>
      <c r="AJ16" s="333"/>
      <c r="AK16" s="333"/>
      <c r="AL16" s="339"/>
      <c r="AM16" s="339"/>
      <c r="AN16" s="339"/>
      <c r="AO16" s="339"/>
      <c r="AP16" s="339"/>
      <c r="AQ16" s="339"/>
      <c r="AR16" s="339"/>
      <c r="AS16" s="339"/>
      <c r="AT16" s="339"/>
      <c r="AU16" s="339">
        <v>1</v>
      </c>
      <c r="AV16" s="339">
        <v>24</v>
      </c>
      <c r="AW16" s="339"/>
      <c r="AX16" s="333">
        <v>200</v>
      </c>
      <c r="AY16" s="340" t="s">
        <v>256</v>
      </c>
      <c r="AZ16" s="337">
        <v>21</v>
      </c>
      <c r="BA16" s="291"/>
      <c r="BB16" s="291"/>
      <c r="BC16" s="291"/>
      <c r="BD16" s="291"/>
    </row>
    <row r="17" s="321" customFormat="1" ht="70" customHeight="1" spans="1:56">
      <c r="A17" s="333" t="s">
        <v>125</v>
      </c>
      <c r="B17" s="333" t="s">
        <v>584</v>
      </c>
      <c r="C17" s="334" t="s">
        <v>607</v>
      </c>
      <c r="D17" s="335" t="s">
        <v>608</v>
      </c>
      <c r="E17" s="335" t="s">
        <v>609</v>
      </c>
      <c r="F17" s="335" t="s">
        <v>610</v>
      </c>
      <c r="G17" s="335" t="s">
        <v>319</v>
      </c>
      <c r="H17" s="335"/>
      <c r="I17" s="335" t="s">
        <v>611</v>
      </c>
      <c r="J17" s="343" t="s">
        <v>612</v>
      </c>
      <c r="K17" s="335" t="s">
        <v>613</v>
      </c>
      <c r="L17" s="343" t="s">
        <v>614</v>
      </c>
      <c r="M17" s="335"/>
      <c r="N17" s="335"/>
      <c r="O17" s="335" t="s">
        <v>321</v>
      </c>
      <c r="P17" s="335" t="s">
        <v>615</v>
      </c>
      <c r="Q17" s="335" t="s">
        <v>569</v>
      </c>
      <c r="R17" s="335" t="s">
        <v>616</v>
      </c>
      <c r="S17" s="335" t="s">
        <v>617</v>
      </c>
      <c r="T17" s="335" t="s">
        <v>618</v>
      </c>
      <c r="U17" s="335"/>
      <c r="V17" s="335" t="s">
        <v>619</v>
      </c>
      <c r="W17" s="335" t="s">
        <v>619</v>
      </c>
      <c r="X17" s="335" t="s">
        <v>541</v>
      </c>
      <c r="Y17" s="335" t="s">
        <v>321</v>
      </c>
      <c r="Z17" s="335" t="s">
        <v>620</v>
      </c>
      <c r="AA17" s="335"/>
      <c r="AB17" s="335"/>
      <c r="AC17" s="343" t="s">
        <v>612</v>
      </c>
      <c r="AD17" s="335" t="s">
        <v>621</v>
      </c>
      <c r="AE17" s="343" t="s">
        <v>622</v>
      </c>
      <c r="AF17" s="336" t="s">
        <v>623</v>
      </c>
      <c r="AG17" s="337" t="s">
        <v>125</v>
      </c>
      <c r="AH17" s="338">
        <v>24</v>
      </c>
      <c r="AI17" s="338">
        <v>22.56</v>
      </c>
      <c r="AJ17" s="333">
        <v>5</v>
      </c>
      <c r="AK17" s="333"/>
      <c r="AL17" s="339"/>
      <c r="AM17" s="339">
        <v>0.44</v>
      </c>
      <c r="AN17" s="339"/>
      <c r="AO17" s="339"/>
      <c r="AP17" s="339"/>
      <c r="AQ17" s="339"/>
      <c r="AR17" s="339"/>
      <c r="AS17" s="339"/>
      <c r="AT17" s="339"/>
      <c r="AU17" s="339">
        <v>1</v>
      </c>
      <c r="AV17" s="339">
        <v>23.56</v>
      </c>
      <c r="AW17" s="339"/>
      <c r="AX17" s="333"/>
      <c r="AY17" s="340" t="s">
        <v>624</v>
      </c>
      <c r="AZ17" s="337">
        <v>21</v>
      </c>
      <c r="BA17" s="291"/>
      <c r="BB17" s="291"/>
      <c r="BC17" s="291"/>
      <c r="BD17" s="291"/>
    </row>
    <row r="18" s="321" customFormat="1" ht="70" customHeight="1" spans="1:56">
      <c r="A18" s="333" t="s">
        <v>118</v>
      </c>
      <c r="B18" s="333" t="s">
        <v>584</v>
      </c>
      <c r="C18" s="334" t="s">
        <v>602</v>
      </c>
      <c r="D18" s="335" t="s">
        <v>608</v>
      </c>
      <c r="E18" s="335" t="s">
        <v>625</v>
      </c>
      <c r="F18" s="335" t="s">
        <v>626</v>
      </c>
      <c r="G18" s="335" t="s">
        <v>319</v>
      </c>
      <c r="H18" s="335"/>
      <c r="I18" s="335" t="s">
        <v>627</v>
      </c>
      <c r="J18" s="335" t="s">
        <v>627</v>
      </c>
      <c r="K18" s="335" t="s">
        <v>628</v>
      </c>
      <c r="L18" s="335" t="s">
        <v>629</v>
      </c>
      <c r="M18" s="335"/>
      <c r="N18" s="335"/>
      <c r="O18" s="335" t="s">
        <v>489</v>
      </c>
      <c r="P18" s="335" t="s">
        <v>630</v>
      </c>
      <c r="Q18" s="335" t="s">
        <v>631</v>
      </c>
      <c r="R18" s="335" t="s">
        <v>632</v>
      </c>
      <c r="S18" s="335" t="s">
        <v>633</v>
      </c>
      <c r="T18" s="335" t="s">
        <v>475</v>
      </c>
      <c r="U18" s="335"/>
      <c r="V18" s="335" t="s">
        <v>634</v>
      </c>
      <c r="W18" s="335" t="s">
        <v>635</v>
      </c>
      <c r="X18" s="335" t="s">
        <v>636</v>
      </c>
      <c r="Y18" s="335" t="s">
        <v>637</v>
      </c>
      <c r="Z18" s="335" t="s">
        <v>638</v>
      </c>
      <c r="AA18" s="335"/>
      <c r="AB18" s="335"/>
      <c r="AC18" s="335" t="s">
        <v>627</v>
      </c>
      <c r="AD18" s="335" t="s">
        <v>639</v>
      </c>
      <c r="AE18" s="335" t="s">
        <v>640</v>
      </c>
      <c r="AF18" s="335" t="s">
        <v>466</v>
      </c>
      <c r="AG18" s="337" t="s">
        <v>118</v>
      </c>
      <c r="AH18" s="338">
        <v>24</v>
      </c>
      <c r="AI18" s="338">
        <v>23</v>
      </c>
      <c r="AJ18" s="333"/>
      <c r="AK18" s="333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>
        <v>1</v>
      </c>
      <c r="AV18" s="339">
        <v>24</v>
      </c>
      <c r="AW18" s="339"/>
      <c r="AX18" s="333">
        <v>200</v>
      </c>
      <c r="AY18" s="340" t="s">
        <v>256</v>
      </c>
      <c r="AZ18" s="337">
        <v>20</v>
      </c>
      <c r="BA18" s="291"/>
      <c r="BB18" s="291"/>
      <c r="BC18" s="291"/>
      <c r="BD18" s="291"/>
    </row>
    <row r="19" s="321" customFormat="1" ht="70" customHeight="1" spans="1:56">
      <c r="A19" s="333" t="s">
        <v>121</v>
      </c>
      <c r="B19" s="333" t="s">
        <v>584</v>
      </c>
      <c r="C19" s="334" t="s">
        <v>641</v>
      </c>
      <c r="D19" s="335" t="s">
        <v>642</v>
      </c>
      <c r="E19" s="335" t="s">
        <v>643</v>
      </c>
      <c r="F19" s="335" t="s">
        <v>644</v>
      </c>
      <c r="G19" s="335" t="s">
        <v>319</v>
      </c>
      <c r="H19" s="335"/>
      <c r="I19" s="336" t="s">
        <v>388</v>
      </c>
      <c r="J19" s="335" t="s">
        <v>645</v>
      </c>
      <c r="K19" s="343" t="s">
        <v>646</v>
      </c>
      <c r="L19" s="335" t="s">
        <v>647</v>
      </c>
      <c r="M19" s="335"/>
      <c r="N19" s="335"/>
      <c r="O19" s="335" t="s">
        <v>645</v>
      </c>
      <c r="P19" s="335" t="s">
        <v>540</v>
      </c>
      <c r="Q19" s="335" t="s">
        <v>648</v>
      </c>
      <c r="R19" s="335" t="s">
        <v>649</v>
      </c>
      <c r="S19" s="335" t="s">
        <v>650</v>
      </c>
      <c r="T19" s="335" t="s">
        <v>651</v>
      </c>
      <c r="U19" s="335"/>
      <c r="V19" s="336" t="s">
        <v>652</v>
      </c>
      <c r="W19" s="335" t="s">
        <v>653</v>
      </c>
      <c r="X19" s="335" t="s">
        <v>654</v>
      </c>
      <c r="Y19" s="335" t="s">
        <v>655</v>
      </c>
      <c r="Z19" s="335" t="s">
        <v>656</v>
      </c>
      <c r="AA19" s="335"/>
      <c r="AB19" s="335"/>
      <c r="AC19" s="335" t="s">
        <v>657</v>
      </c>
      <c r="AD19" s="335" t="s">
        <v>658</v>
      </c>
      <c r="AE19" s="335" t="s">
        <v>659</v>
      </c>
      <c r="AF19" s="335" t="s">
        <v>660</v>
      </c>
      <c r="AG19" s="337" t="s">
        <v>121</v>
      </c>
      <c r="AH19" s="338">
        <v>24</v>
      </c>
      <c r="AI19" s="338">
        <v>21.44</v>
      </c>
      <c r="AJ19" s="333">
        <v>6</v>
      </c>
      <c r="AK19" s="333"/>
      <c r="AL19" s="339"/>
      <c r="AM19" s="339">
        <v>1</v>
      </c>
      <c r="AN19" s="339">
        <v>0.56</v>
      </c>
      <c r="AO19" s="339"/>
      <c r="AP19" s="339"/>
      <c r="AQ19" s="339"/>
      <c r="AR19" s="339"/>
      <c r="AS19" s="339"/>
      <c r="AT19" s="339"/>
      <c r="AU19" s="339">
        <v>1</v>
      </c>
      <c r="AV19" s="339">
        <v>23</v>
      </c>
      <c r="AW19" s="339"/>
      <c r="AX19" s="333"/>
      <c r="AY19" s="340" t="s">
        <v>661</v>
      </c>
      <c r="AZ19" s="337">
        <v>20</v>
      </c>
      <c r="BA19" s="291"/>
      <c r="BB19" s="291"/>
      <c r="BC19" s="291"/>
      <c r="BD19" s="291"/>
    </row>
    <row r="20" s="321" customFormat="1" ht="70" customHeight="1" spans="1:56">
      <c r="A20" s="333" t="s">
        <v>132</v>
      </c>
      <c r="B20" s="333" t="s">
        <v>662</v>
      </c>
      <c r="C20" s="334" t="s">
        <v>663</v>
      </c>
      <c r="D20" s="335" t="s">
        <v>664</v>
      </c>
      <c r="E20" s="335" t="s">
        <v>665</v>
      </c>
      <c r="F20" s="335" t="s">
        <v>666</v>
      </c>
      <c r="G20" s="335" t="s">
        <v>319</v>
      </c>
      <c r="H20" s="335"/>
      <c r="I20" s="335" t="s">
        <v>667</v>
      </c>
      <c r="J20" s="335" t="s">
        <v>578</v>
      </c>
      <c r="K20" s="335" t="s">
        <v>668</v>
      </c>
      <c r="L20" s="335" t="s">
        <v>669</v>
      </c>
      <c r="M20" s="335"/>
      <c r="N20" s="335"/>
      <c r="O20" s="335" t="s">
        <v>670</v>
      </c>
      <c r="P20" s="335" t="s">
        <v>671</v>
      </c>
      <c r="Q20" s="335" t="s">
        <v>672</v>
      </c>
      <c r="R20" s="335" t="s">
        <v>673</v>
      </c>
      <c r="S20" s="335" t="s">
        <v>674</v>
      </c>
      <c r="T20" s="335" t="s">
        <v>675</v>
      </c>
      <c r="U20" s="335"/>
      <c r="V20" s="335" t="s">
        <v>676</v>
      </c>
      <c r="W20" s="335" t="s">
        <v>677</v>
      </c>
      <c r="X20" s="335" t="s">
        <v>678</v>
      </c>
      <c r="Y20" s="335" t="s">
        <v>679</v>
      </c>
      <c r="Z20" s="336" t="s">
        <v>680</v>
      </c>
      <c r="AA20" s="335"/>
      <c r="AB20" s="335"/>
      <c r="AC20" s="335" t="s">
        <v>664</v>
      </c>
      <c r="AD20" s="335" t="s">
        <v>416</v>
      </c>
      <c r="AE20" s="335" t="s">
        <v>681</v>
      </c>
      <c r="AF20" s="335" t="s">
        <v>529</v>
      </c>
      <c r="AG20" s="337" t="s">
        <v>132</v>
      </c>
      <c r="AH20" s="338">
        <v>24</v>
      </c>
      <c r="AI20" s="338">
        <v>22.44</v>
      </c>
      <c r="AJ20" s="333"/>
      <c r="AK20" s="333"/>
      <c r="AL20" s="339"/>
      <c r="AM20" s="339"/>
      <c r="AN20" s="339">
        <v>0.56</v>
      </c>
      <c r="AO20" s="339"/>
      <c r="AP20" s="339"/>
      <c r="AQ20" s="339"/>
      <c r="AR20" s="339"/>
      <c r="AS20" s="339"/>
      <c r="AT20" s="339"/>
      <c r="AU20" s="339">
        <v>1</v>
      </c>
      <c r="AV20" s="339">
        <v>24</v>
      </c>
      <c r="AW20" s="339"/>
      <c r="AX20" s="333">
        <v>200</v>
      </c>
      <c r="AY20" s="340" t="s">
        <v>682</v>
      </c>
      <c r="AZ20" s="337">
        <v>0</v>
      </c>
      <c r="BA20" s="291"/>
      <c r="BB20" s="291"/>
      <c r="BC20" s="291"/>
      <c r="BD20" s="291"/>
    </row>
    <row r="21" s="321" customFormat="1" ht="70" customHeight="1" spans="1:56">
      <c r="A21" s="333" t="s">
        <v>127</v>
      </c>
      <c r="B21" s="333" t="s">
        <v>662</v>
      </c>
      <c r="C21" s="334" t="s">
        <v>683</v>
      </c>
      <c r="D21" s="336" t="s">
        <v>684</v>
      </c>
      <c r="E21" s="335" t="s">
        <v>685</v>
      </c>
      <c r="F21" s="335" t="s">
        <v>686</v>
      </c>
      <c r="G21" s="335" t="s">
        <v>319</v>
      </c>
      <c r="H21" s="335"/>
      <c r="I21" s="335" t="s">
        <v>687</v>
      </c>
      <c r="J21" s="336" t="s">
        <v>688</v>
      </c>
      <c r="K21" s="335" t="s">
        <v>689</v>
      </c>
      <c r="L21" s="335" t="s">
        <v>690</v>
      </c>
      <c r="M21" s="335"/>
      <c r="N21" s="335"/>
      <c r="O21" s="335" t="s">
        <v>493</v>
      </c>
      <c r="P21" s="335" t="s">
        <v>620</v>
      </c>
      <c r="Q21" s="335" t="s">
        <v>620</v>
      </c>
      <c r="R21" s="335" t="s">
        <v>691</v>
      </c>
      <c r="S21" s="335" t="s">
        <v>692</v>
      </c>
      <c r="T21" s="336" t="s">
        <v>329</v>
      </c>
      <c r="U21" s="335"/>
      <c r="V21" s="335" t="s">
        <v>693</v>
      </c>
      <c r="W21" s="335" t="s">
        <v>694</v>
      </c>
      <c r="X21" s="335" t="s">
        <v>695</v>
      </c>
      <c r="Y21" s="335" t="s">
        <v>328</v>
      </c>
      <c r="Z21" s="335" t="s">
        <v>696</v>
      </c>
      <c r="AA21" s="335"/>
      <c r="AB21" s="335"/>
      <c r="AC21" s="335" t="s">
        <v>697</v>
      </c>
      <c r="AD21" s="335" t="s">
        <v>698</v>
      </c>
      <c r="AE21" s="335" t="s">
        <v>699</v>
      </c>
      <c r="AF21" s="335" t="s">
        <v>700</v>
      </c>
      <c r="AG21" s="337" t="s">
        <v>127</v>
      </c>
      <c r="AH21" s="338">
        <v>24</v>
      </c>
      <c r="AI21" s="338">
        <v>22</v>
      </c>
      <c r="AJ21" s="333"/>
      <c r="AK21" s="333"/>
      <c r="AL21" s="339"/>
      <c r="AM21" s="339"/>
      <c r="AN21" s="339">
        <v>1</v>
      </c>
      <c r="AO21" s="339"/>
      <c r="AP21" s="339"/>
      <c r="AQ21" s="339"/>
      <c r="AR21" s="339"/>
      <c r="AS21" s="339"/>
      <c r="AT21" s="339"/>
      <c r="AU21" s="339">
        <v>1</v>
      </c>
      <c r="AV21" s="339">
        <v>24</v>
      </c>
      <c r="AW21" s="339"/>
      <c r="AX21" s="338">
        <v>200</v>
      </c>
      <c r="AY21" s="340" t="s">
        <v>701</v>
      </c>
      <c r="AZ21" s="337">
        <v>2.5</v>
      </c>
      <c r="BA21" s="291"/>
      <c r="BB21" s="291"/>
      <c r="BC21" s="291"/>
      <c r="BD21" s="291"/>
    </row>
    <row r="22" s="321" customFormat="1" ht="70" customHeight="1" spans="1:56">
      <c r="A22" s="333" t="s">
        <v>129</v>
      </c>
      <c r="B22" s="333" t="s">
        <v>662</v>
      </c>
      <c r="C22" s="334" t="s">
        <v>425</v>
      </c>
      <c r="D22" s="335" t="s">
        <v>702</v>
      </c>
      <c r="E22" s="335" t="s">
        <v>703</v>
      </c>
      <c r="F22" s="336" t="s">
        <v>388</v>
      </c>
      <c r="G22" s="335" t="s">
        <v>319</v>
      </c>
      <c r="H22" s="335"/>
      <c r="I22" s="335" t="s">
        <v>704</v>
      </c>
      <c r="J22" s="343" t="s">
        <v>705</v>
      </c>
      <c r="K22" s="335" t="s">
        <v>706</v>
      </c>
      <c r="L22" s="335" t="s">
        <v>707</v>
      </c>
      <c r="M22" s="335"/>
      <c r="N22" s="335"/>
      <c r="O22" s="335" t="s">
        <v>708</v>
      </c>
      <c r="P22" s="335" t="s">
        <v>709</v>
      </c>
      <c r="Q22" s="335" t="s">
        <v>710</v>
      </c>
      <c r="R22" s="335" t="s">
        <v>711</v>
      </c>
      <c r="S22" s="335" t="s">
        <v>712</v>
      </c>
      <c r="T22" s="335" t="s">
        <v>713</v>
      </c>
      <c r="U22" s="335"/>
      <c r="V22" s="335" t="s">
        <v>714</v>
      </c>
      <c r="W22" s="335" t="s">
        <v>715</v>
      </c>
      <c r="X22" s="335" t="s">
        <v>716</v>
      </c>
      <c r="Y22" s="335" t="s">
        <v>717</v>
      </c>
      <c r="Z22" s="335" t="s">
        <v>718</v>
      </c>
      <c r="AA22" s="335"/>
      <c r="AB22" s="335"/>
      <c r="AC22" s="335" t="s">
        <v>719</v>
      </c>
      <c r="AD22" s="335" t="s">
        <v>720</v>
      </c>
      <c r="AE22" s="335" t="s">
        <v>721</v>
      </c>
      <c r="AF22" s="335" t="s">
        <v>722</v>
      </c>
      <c r="AG22" s="337" t="s">
        <v>129</v>
      </c>
      <c r="AH22" s="338">
        <v>24</v>
      </c>
      <c r="AI22" s="338">
        <v>22</v>
      </c>
      <c r="AJ22" s="333"/>
      <c r="AK22" s="333">
        <v>1</v>
      </c>
      <c r="AL22" s="339"/>
      <c r="AM22" s="339">
        <v>1</v>
      </c>
      <c r="AN22" s="339"/>
      <c r="AO22" s="339"/>
      <c r="AP22" s="339"/>
      <c r="AQ22" s="339"/>
      <c r="AR22" s="339"/>
      <c r="AS22" s="339"/>
      <c r="AT22" s="339"/>
      <c r="AU22" s="339">
        <v>1</v>
      </c>
      <c r="AV22" s="339">
        <v>23</v>
      </c>
      <c r="AW22" s="339"/>
      <c r="AX22" s="333"/>
      <c r="AY22" s="340" t="s">
        <v>723</v>
      </c>
      <c r="AZ22" s="337">
        <v>1.5</v>
      </c>
      <c r="BA22" s="291"/>
      <c r="BB22" s="291"/>
      <c r="BC22" s="291"/>
      <c r="BD22" s="291"/>
    </row>
    <row r="23" s="321" customFormat="1" ht="70" customHeight="1" spans="1:56">
      <c r="A23" s="333" t="s">
        <v>115</v>
      </c>
      <c r="B23" s="333" t="s">
        <v>662</v>
      </c>
      <c r="C23" s="334" t="s">
        <v>724</v>
      </c>
      <c r="D23" s="343" t="s">
        <v>725</v>
      </c>
      <c r="E23" s="335" t="s">
        <v>726</v>
      </c>
      <c r="F23" s="335" t="s">
        <v>727</v>
      </c>
      <c r="G23" s="335" t="s">
        <v>319</v>
      </c>
      <c r="H23" s="335"/>
      <c r="I23" s="335" t="s">
        <v>728</v>
      </c>
      <c r="J23" s="335" t="s">
        <v>729</v>
      </c>
      <c r="K23" s="335" t="s">
        <v>730</v>
      </c>
      <c r="L23" s="335" t="s">
        <v>731</v>
      </c>
      <c r="M23" s="335"/>
      <c r="N23" s="335"/>
      <c r="O23" s="335" t="s">
        <v>732</v>
      </c>
      <c r="P23" s="335" t="s">
        <v>733</v>
      </c>
      <c r="Q23" s="335" t="s">
        <v>734</v>
      </c>
      <c r="R23" s="335" t="s">
        <v>735</v>
      </c>
      <c r="S23" s="335" t="s">
        <v>736</v>
      </c>
      <c r="T23" s="335" t="s">
        <v>737</v>
      </c>
      <c r="U23" s="335"/>
      <c r="V23" s="335" t="s">
        <v>738</v>
      </c>
      <c r="W23" s="335" t="s">
        <v>626</v>
      </c>
      <c r="X23" s="335" t="s">
        <v>739</v>
      </c>
      <c r="Y23" s="335" t="s">
        <v>740</v>
      </c>
      <c r="Z23" s="335" t="s">
        <v>741</v>
      </c>
      <c r="AA23" s="335"/>
      <c r="AB23" s="335"/>
      <c r="AC23" s="336" t="s">
        <v>742</v>
      </c>
      <c r="AD23" s="336" t="s">
        <v>329</v>
      </c>
      <c r="AE23" s="336" t="s">
        <v>329</v>
      </c>
      <c r="AF23" s="336" t="s">
        <v>743</v>
      </c>
      <c r="AG23" s="337" t="s">
        <v>115</v>
      </c>
      <c r="AH23" s="338">
        <v>24</v>
      </c>
      <c r="AI23" s="338">
        <v>20</v>
      </c>
      <c r="AJ23" s="333"/>
      <c r="AK23" s="333"/>
      <c r="AL23" s="339"/>
      <c r="AM23" s="339"/>
      <c r="AN23" s="339">
        <v>3</v>
      </c>
      <c r="AO23" s="339"/>
      <c r="AP23" s="339"/>
      <c r="AQ23" s="339"/>
      <c r="AR23" s="339"/>
      <c r="AS23" s="339"/>
      <c r="AT23" s="339"/>
      <c r="AU23" s="339">
        <v>1</v>
      </c>
      <c r="AV23" s="339">
        <v>24</v>
      </c>
      <c r="AW23" s="339"/>
      <c r="AX23" s="338">
        <v>200</v>
      </c>
      <c r="AY23" s="340" t="s">
        <v>744</v>
      </c>
      <c r="AZ23" s="337">
        <v>9</v>
      </c>
      <c r="BA23" s="291"/>
      <c r="BB23" s="291"/>
      <c r="BC23" s="291"/>
      <c r="BD23" s="291"/>
    </row>
    <row r="24" s="321" customFormat="1" ht="70" customHeight="1" spans="1:56">
      <c r="A24" s="333" t="s">
        <v>92</v>
      </c>
      <c r="B24" s="333" t="s">
        <v>314</v>
      </c>
      <c r="C24" s="334" t="s">
        <v>745</v>
      </c>
      <c r="D24" s="335" t="s">
        <v>746</v>
      </c>
      <c r="E24" s="335" t="s">
        <v>747</v>
      </c>
      <c r="F24" s="335" t="s">
        <v>748</v>
      </c>
      <c r="G24" s="335" t="s">
        <v>319</v>
      </c>
      <c r="H24" s="335"/>
      <c r="I24" s="335" t="s">
        <v>749</v>
      </c>
      <c r="J24" s="335" t="s">
        <v>750</v>
      </c>
      <c r="K24" s="335" t="s">
        <v>751</v>
      </c>
      <c r="L24" s="335" t="s">
        <v>752</v>
      </c>
      <c r="M24" s="335"/>
      <c r="N24" s="335"/>
      <c r="O24" s="335" t="s">
        <v>753</v>
      </c>
      <c r="P24" s="335" t="s">
        <v>754</v>
      </c>
      <c r="Q24" s="335" t="s">
        <v>755</v>
      </c>
      <c r="R24" s="335" t="s">
        <v>756</v>
      </c>
      <c r="S24" s="335" t="s">
        <v>757</v>
      </c>
      <c r="T24" s="335" t="s">
        <v>758</v>
      </c>
      <c r="U24" s="335"/>
      <c r="V24" s="335" t="s">
        <v>759</v>
      </c>
      <c r="W24" s="335" t="s">
        <v>760</v>
      </c>
      <c r="X24" s="335" t="s">
        <v>761</v>
      </c>
      <c r="Y24" s="335" t="s">
        <v>762</v>
      </c>
      <c r="Z24" s="335" t="s">
        <v>763</v>
      </c>
      <c r="AA24" s="335"/>
      <c r="AB24" s="335"/>
      <c r="AC24" s="335" t="s">
        <v>764</v>
      </c>
      <c r="AD24" s="335" t="s">
        <v>765</v>
      </c>
      <c r="AE24" s="335" t="s">
        <v>766</v>
      </c>
      <c r="AF24" s="335" t="s">
        <v>767</v>
      </c>
      <c r="AG24" s="337" t="s">
        <v>92</v>
      </c>
      <c r="AH24" s="338">
        <v>24</v>
      </c>
      <c r="AI24" s="338">
        <v>23</v>
      </c>
      <c r="AJ24" s="333"/>
      <c r="AK24" s="333"/>
      <c r="AL24" s="339"/>
      <c r="AM24" s="339"/>
      <c r="AN24" s="339"/>
      <c r="AO24" s="339"/>
      <c r="AP24" s="339"/>
      <c r="AQ24" s="339"/>
      <c r="AR24" s="339"/>
      <c r="AS24" s="339"/>
      <c r="AT24" s="339"/>
      <c r="AU24" s="339">
        <v>1</v>
      </c>
      <c r="AV24" s="339">
        <v>24</v>
      </c>
      <c r="AW24" s="339"/>
      <c r="AX24" s="333">
        <v>200</v>
      </c>
      <c r="AY24" s="340" t="s">
        <v>256</v>
      </c>
      <c r="AZ24" s="337">
        <v>2.5</v>
      </c>
      <c r="BA24" s="291"/>
      <c r="BB24" s="291"/>
      <c r="BC24" s="291"/>
      <c r="BD24" s="291"/>
    </row>
    <row r="25" s="321" customFormat="1" ht="70" customHeight="1" spans="1:56">
      <c r="A25" s="333" t="s">
        <v>134</v>
      </c>
      <c r="B25" s="333" t="s">
        <v>662</v>
      </c>
      <c r="C25" s="334" t="s">
        <v>768</v>
      </c>
      <c r="D25" s="335" t="s">
        <v>769</v>
      </c>
      <c r="E25" s="335" t="s">
        <v>770</v>
      </c>
      <c r="F25" s="335" t="s">
        <v>771</v>
      </c>
      <c r="G25" s="335" t="s">
        <v>319</v>
      </c>
      <c r="H25" s="335"/>
      <c r="I25" s="335" t="s">
        <v>772</v>
      </c>
      <c r="J25" s="335" t="s">
        <v>579</v>
      </c>
      <c r="K25" s="335" t="s">
        <v>773</v>
      </c>
      <c r="L25" s="335" t="s">
        <v>533</v>
      </c>
      <c r="M25" s="335"/>
      <c r="N25" s="335"/>
      <c r="O25" s="335" t="s">
        <v>774</v>
      </c>
      <c r="P25" s="335" t="s">
        <v>775</v>
      </c>
      <c r="Q25" s="335" t="s">
        <v>776</v>
      </c>
      <c r="R25" s="335" t="s">
        <v>777</v>
      </c>
      <c r="S25" s="335" t="s">
        <v>774</v>
      </c>
      <c r="T25" s="335" t="s">
        <v>778</v>
      </c>
      <c r="U25" s="335"/>
      <c r="V25" s="335" t="s">
        <v>779</v>
      </c>
      <c r="W25" s="335" t="s">
        <v>564</v>
      </c>
      <c r="X25" s="335" t="s">
        <v>689</v>
      </c>
      <c r="Y25" s="335" t="s">
        <v>775</v>
      </c>
      <c r="Z25" s="335" t="s">
        <v>780</v>
      </c>
      <c r="AA25" s="335"/>
      <c r="AB25" s="335"/>
      <c r="AC25" s="335" t="s">
        <v>781</v>
      </c>
      <c r="AD25" s="336" t="s">
        <v>782</v>
      </c>
      <c r="AE25" s="335" t="s">
        <v>783</v>
      </c>
      <c r="AF25" s="335" t="s">
        <v>784</v>
      </c>
      <c r="AG25" s="337" t="s">
        <v>134</v>
      </c>
      <c r="AH25" s="338">
        <v>24</v>
      </c>
      <c r="AI25" s="338">
        <v>22.56</v>
      </c>
      <c r="AJ25" s="333"/>
      <c r="AK25" s="333"/>
      <c r="AL25" s="339"/>
      <c r="AM25" s="339"/>
      <c r="AN25" s="339">
        <v>0.44</v>
      </c>
      <c r="AO25" s="339"/>
      <c r="AP25" s="339"/>
      <c r="AQ25" s="339"/>
      <c r="AR25" s="339"/>
      <c r="AS25" s="339"/>
      <c r="AT25" s="339"/>
      <c r="AU25" s="339">
        <v>1</v>
      </c>
      <c r="AV25" s="339">
        <v>24</v>
      </c>
      <c r="AW25" s="339"/>
      <c r="AX25" s="333">
        <v>200</v>
      </c>
      <c r="AY25" s="340" t="s">
        <v>785</v>
      </c>
      <c r="AZ25" s="337">
        <v>0</v>
      </c>
      <c r="BA25" s="291"/>
      <c r="BB25" s="291"/>
      <c r="BC25" s="291"/>
      <c r="BD25" s="291"/>
    </row>
    <row r="26" s="321" customFormat="1" ht="70" customHeight="1" spans="1:56">
      <c r="A26" s="333" t="s">
        <v>103</v>
      </c>
      <c r="B26" s="333" t="s">
        <v>786</v>
      </c>
      <c r="C26" s="334" t="s">
        <v>787</v>
      </c>
      <c r="D26" s="336" t="s">
        <v>329</v>
      </c>
      <c r="E26" s="335" t="s">
        <v>788</v>
      </c>
      <c r="F26" s="335" t="s">
        <v>789</v>
      </c>
      <c r="G26" s="335" t="s">
        <v>319</v>
      </c>
      <c r="H26" s="335"/>
      <c r="I26" s="335" t="s">
        <v>790</v>
      </c>
      <c r="J26" s="335" t="s">
        <v>791</v>
      </c>
      <c r="K26" s="335" t="s">
        <v>792</v>
      </c>
      <c r="L26" s="335" t="s">
        <v>793</v>
      </c>
      <c r="M26" s="335"/>
      <c r="N26" s="335"/>
      <c r="O26" s="335" t="s">
        <v>794</v>
      </c>
      <c r="P26" s="335" t="s">
        <v>795</v>
      </c>
      <c r="Q26" s="335" t="s">
        <v>796</v>
      </c>
      <c r="R26" s="335" t="s">
        <v>759</v>
      </c>
      <c r="S26" s="336" t="s">
        <v>797</v>
      </c>
      <c r="T26" s="335" t="s">
        <v>756</v>
      </c>
      <c r="U26" s="335"/>
      <c r="V26" s="335" t="s">
        <v>798</v>
      </c>
      <c r="W26" s="335" t="s">
        <v>799</v>
      </c>
      <c r="X26" s="335" t="s">
        <v>800</v>
      </c>
      <c r="Y26" s="335" t="s">
        <v>801</v>
      </c>
      <c r="Z26" s="335" t="s">
        <v>802</v>
      </c>
      <c r="AA26" s="335"/>
      <c r="AB26" s="335"/>
      <c r="AC26" s="335" t="s">
        <v>531</v>
      </c>
      <c r="AD26" s="335" t="s">
        <v>803</v>
      </c>
      <c r="AE26" s="335" t="s">
        <v>804</v>
      </c>
      <c r="AF26" s="335" t="s">
        <v>805</v>
      </c>
      <c r="AG26" s="337" t="s">
        <v>103</v>
      </c>
      <c r="AH26" s="338">
        <v>24</v>
      </c>
      <c r="AI26" s="338">
        <v>22</v>
      </c>
      <c r="AJ26" s="333"/>
      <c r="AK26" s="333"/>
      <c r="AL26" s="339"/>
      <c r="AM26" s="339"/>
      <c r="AN26" s="339">
        <v>1</v>
      </c>
      <c r="AO26" s="339"/>
      <c r="AP26" s="339"/>
      <c r="AQ26" s="339"/>
      <c r="AR26" s="339"/>
      <c r="AS26" s="339"/>
      <c r="AT26" s="339"/>
      <c r="AU26" s="339">
        <v>1</v>
      </c>
      <c r="AV26" s="339">
        <v>24</v>
      </c>
      <c r="AW26" s="339"/>
      <c r="AX26" s="333">
        <v>200</v>
      </c>
      <c r="AY26" s="340" t="s">
        <v>806</v>
      </c>
      <c r="AZ26" s="337">
        <v>0</v>
      </c>
      <c r="BA26" s="291"/>
      <c r="BB26" s="291"/>
      <c r="BC26" s="291"/>
      <c r="BD26" s="291"/>
    </row>
    <row r="27" s="321" customFormat="1" ht="70" customHeight="1" spans="1:56">
      <c r="A27" s="333" t="s">
        <v>108</v>
      </c>
      <c r="B27" s="333" t="s">
        <v>786</v>
      </c>
      <c r="C27" s="334" t="s">
        <v>807</v>
      </c>
      <c r="D27" s="335" t="s">
        <v>808</v>
      </c>
      <c r="E27" s="335" t="s">
        <v>809</v>
      </c>
      <c r="F27" s="335" t="s">
        <v>810</v>
      </c>
      <c r="G27" s="335" t="s">
        <v>319</v>
      </c>
      <c r="H27" s="335"/>
      <c r="I27" s="335" t="s">
        <v>811</v>
      </c>
      <c r="J27" s="335" t="s">
        <v>561</v>
      </c>
      <c r="K27" s="335" t="s">
        <v>812</v>
      </c>
      <c r="L27" s="335" t="s">
        <v>813</v>
      </c>
      <c r="M27" s="335"/>
      <c r="N27" s="335"/>
      <c r="O27" s="335" t="s">
        <v>814</v>
      </c>
      <c r="P27" s="335" t="s">
        <v>815</v>
      </c>
      <c r="Q27" s="335" t="s">
        <v>816</v>
      </c>
      <c r="R27" s="335" t="s">
        <v>808</v>
      </c>
      <c r="S27" s="335" t="s">
        <v>817</v>
      </c>
      <c r="T27" s="335" t="s">
        <v>818</v>
      </c>
      <c r="U27" s="335"/>
      <c r="V27" s="335" t="s">
        <v>819</v>
      </c>
      <c r="W27" s="335" t="s">
        <v>820</v>
      </c>
      <c r="X27" s="335" t="s">
        <v>821</v>
      </c>
      <c r="Y27" s="335" t="s">
        <v>822</v>
      </c>
      <c r="Z27" s="335" t="s">
        <v>399</v>
      </c>
      <c r="AA27" s="335"/>
      <c r="AB27" s="335"/>
      <c r="AC27" s="335" t="s">
        <v>823</v>
      </c>
      <c r="AD27" s="335" t="s">
        <v>824</v>
      </c>
      <c r="AE27" s="336" t="s">
        <v>825</v>
      </c>
      <c r="AF27" s="336" t="s">
        <v>388</v>
      </c>
      <c r="AG27" s="337" t="s">
        <v>108</v>
      </c>
      <c r="AH27" s="338">
        <v>24</v>
      </c>
      <c r="AI27" s="333">
        <v>21.44</v>
      </c>
      <c r="AJ27" s="333"/>
      <c r="AK27" s="333"/>
      <c r="AL27" s="339"/>
      <c r="AM27" s="339">
        <v>1.56</v>
      </c>
      <c r="AN27" s="339"/>
      <c r="AO27" s="339"/>
      <c r="AP27" s="339"/>
      <c r="AQ27" s="339"/>
      <c r="AR27" s="339"/>
      <c r="AS27" s="339"/>
      <c r="AT27" s="339"/>
      <c r="AU27" s="339">
        <v>1</v>
      </c>
      <c r="AV27" s="339">
        <v>22.44</v>
      </c>
      <c r="AW27" s="339"/>
      <c r="AX27" s="333"/>
      <c r="AY27" s="340" t="s">
        <v>826</v>
      </c>
      <c r="AZ27" s="337">
        <v>0</v>
      </c>
      <c r="BA27" s="291"/>
      <c r="BB27" s="291"/>
      <c r="BC27" s="291"/>
      <c r="BD27" s="291"/>
    </row>
    <row r="28" s="321" customFormat="1" ht="70" customHeight="1" spans="1:56">
      <c r="A28" s="333" t="s">
        <v>106</v>
      </c>
      <c r="B28" s="333" t="s">
        <v>786</v>
      </c>
      <c r="C28" s="334" t="s">
        <v>827</v>
      </c>
      <c r="D28" s="335" t="s">
        <v>491</v>
      </c>
      <c r="E28" s="335" t="s">
        <v>362</v>
      </c>
      <c r="F28" s="335" t="s">
        <v>473</v>
      </c>
      <c r="G28" s="335" t="s">
        <v>319</v>
      </c>
      <c r="H28" s="335"/>
      <c r="I28" s="335" t="s">
        <v>828</v>
      </c>
      <c r="J28" s="335" t="s">
        <v>829</v>
      </c>
      <c r="K28" s="335" t="s">
        <v>588</v>
      </c>
      <c r="L28" s="336" t="s">
        <v>329</v>
      </c>
      <c r="M28" s="335"/>
      <c r="N28" s="335"/>
      <c r="O28" s="335" t="s">
        <v>828</v>
      </c>
      <c r="P28" s="335" t="s">
        <v>491</v>
      </c>
      <c r="Q28" s="335" t="s">
        <v>827</v>
      </c>
      <c r="R28" s="335" t="s">
        <v>694</v>
      </c>
      <c r="S28" s="335" t="s">
        <v>774</v>
      </c>
      <c r="T28" s="335" t="s">
        <v>804</v>
      </c>
      <c r="U28" s="335"/>
      <c r="V28" s="335" t="s">
        <v>830</v>
      </c>
      <c r="W28" s="335" t="s">
        <v>831</v>
      </c>
      <c r="X28" s="335" t="s">
        <v>832</v>
      </c>
      <c r="Y28" s="335" t="s">
        <v>831</v>
      </c>
      <c r="Z28" s="335" t="s">
        <v>833</v>
      </c>
      <c r="AA28" s="335"/>
      <c r="AB28" s="335"/>
      <c r="AC28" s="335" t="s">
        <v>834</v>
      </c>
      <c r="AD28" s="335" t="s">
        <v>835</v>
      </c>
      <c r="AE28" s="335" t="s">
        <v>567</v>
      </c>
      <c r="AF28" s="335" t="s">
        <v>564</v>
      </c>
      <c r="AG28" s="337" t="s">
        <v>106</v>
      </c>
      <c r="AH28" s="338">
        <v>24</v>
      </c>
      <c r="AI28" s="338">
        <v>22</v>
      </c>
      <c r="AJ28" s="333"/>
      <c r="AK28" s="333"/>
      <c r="AL28" s="339"/>
      <c r="AM28" s="339"/>
      <c r="AN28" s="339">
        <v>1</v>
      </c>
      <c r="AO28" s="339"/>
      <c r="AP28" s="339"/>
      <c r="AQ28" s="339"/>
      <c r="AR28" s="339"/>
      <c r="AS28" s="339"/>
      <c r="AT28" s="339"/>
      <c r="AU28" s="339">
        <v>1</v>
      </c>
      <c r="AV28" s="339">
        <v>24</v>
      </c>
      <c r="AW28" s="339"/>
      <c r="AX28" s="333">
        <v>200</v>
      </c>
      <c r="AY28" s="340" t="s">
        <v>836</v>
      </c>
      <c r="AZ28" s="337">
        <v>0</v>
      </c>
      <c r="BA28" s="291"/>
      <c r="BB28" s="291"/>
      <c r="BC28" s="291"/>
      <c r="BD28" s="291"/>
    </row>
    <row r="29" s="321" customFormat="1" ht="70" customHeight="1" spans="1:56">
      <c r="A29" s="333" t="s">
        <v>101</v>
      </c>
      <c r="B29" s="333" t="s">
        <v>837</v>
      </c>
      <c r="C29" s="334" t="s">
        <v>496</v>
      </c>
      <c r="D29" s="335" t="s">
        <v>804</v>
      </c>
      <c r="E29" s="335" t="s">
        <v>371</v>
      </c>
      <c r="F29" s="335" t="s">
        <v>838</v>
      </c>
      <c r="G29" s="335" t="s">
        <v>319</v>
      </c>
      <c r="H29" s="335"/>
      <c r="I29" s="335" t="s">
        <v>691</v>
      </c>
      <c r="J29" s="335" t="s">
        <v>832</v>
      </c>
      <c r="K29" s="335" t="s">
        <v>839</v>
      </c>
      <c r="L29" s="335" t="s">
        <v>840</v>
      </c>
      <c r="M29" s="335"/>
      <c r="N29" s="335"/>
      <c r="O29" s="335" t="s">
        <v>562</v>
      </c>
      <c r="P29" s="335" t="s">
        <v>841</v>
      </c>
      <c r="Q29" s="335" t="s">
        <v>842</v>
      </c>
      <c r="R29" s="335" t="s">
        <v>629</v>
      </c>
      <c r="S29" s="336" t="s">
        <v>843</v>
      </c>
      <c r="T29" s="335" t="s">
        <v>564</v>
      </c>
      <c r="U29" s="335"/>
      <c r="V29" s="335" t="s">
        <v>844</v>
      </c>
      <c r="W29" s="335" t="s">
        <v>332</v>
      </c>
      <c r="X29" s="335" t="s">
        <v>690</v>
      </c>
      <c r="Y29" s="335" t="s">
        <v>845</v>
      </c>
      <c r="Z29" s="335" t="s">
        <v>846</v>
      </c>
      <c r="AA29" s="335"/>
      <c r="AB29" s="335"/>
      <c r="AC29" s="335" t="s">
        <v>774</v>
      </c>
      <c r="AD29" s="335" t="s">
        <v>847</v>
      </c>
      <c r="AE29" s="335" t="s">
        <v>848</v>
      </c>
      <c r="AF29" s="335" t="s">
        <v>774</v>
      </c>
      <c r="AG29" s="337" t="s">
        <v>101</v>
      </c>
      <c r="AH29" s="338">
        <v>24</v>
      </c>
      <c r="AI29" s="338">
        <v>22.44</v>
      </c>
      <c r="AJ29" s="333"/>
      <c r="AK29" s="333"/>
      <c r="AL29" s="339"/>
      <c r="AM29" s="339"/>
      <c r="AN29" s="339">
        <v>0.56</v>
      </c>
      <c r="AO29" s="339"/>
      <c r="AP29" s="339"/>
      <c r="AQ29" s="339"/>
      <c r="AR29" s="339"/>
      <c r="AS29" s="339"/>
      <c r="AT29" s="339"/>
      <c r="AU29" s="339">
        <v>1</v>
      </c>
      <c r="AV29" s="339">
        <v>24</v>
      </c>
      <c r="AW29" s="339"/>
      <c r="AX29" s="333">
        <v>200</v>
      </c>
      <c r="AY29" s="340" t="s">
        <v>849</v>
      </c>
      <c r="AZ29" s="337">
        <v>0.5</v>
      </c>
      <c r="BA29" s="291"/>
      <c r="BB29" s="291"/>
      <c r="BC29" s="291"/>
      <c r="BD29" s="291"/>
    </row>
    <row r="30" s="321" customFormat="1" ht="70" customHeight="1" spans="1:56">
      <c r="A30" s="333" t="s">
        <v>98</v>
      </c>
      <c r="B30" s="333" t="s">
        <v>837</v>
      </c>
      <c r="C30" s="334" t="s">
        <v>850</v>
      </c>
      <c r="D30" s="335" t="s">
        <v>466</v>
      </c>
      <c r="E30" s="335" t="s">
        <v>564</v>
      </c>
      <c r="F30" s="335" t="s">
        <v>774</v>
      </c>
      <c r="G30" s="335" t="s">
        <v>319</v>
      </c>
      <c r="H30" s="335"/>
      <c r="I30" s="335" t="s">
        <v>328</v>
      </c>
      <c r="J30" s="335" t="s">
        <v>491</v>
      </c>
      <c r="K30" s="335" t="s">
        <v>851</v>
      </c>
      <c r="L30" s="335" t="s">
        <v>852</v>
      </c>
      <c r="M30" s="335"/>
      <c r="N30" s="335"/>
      <c r="O30" s="335" t="s">
        <v>577</v>
      </c>
      <c r="P30" s="335" t="s">
        <v>851</v>
      </c>
      <c r="Q30" s="335" t="s">
        <v>379</v>
      </c>
      <c r="R30" s="335" t="s">
        <v>576</v>
      </c>
      <c r="S30" s="336" t="s">
        <v>843</v>
      </c>
      <c r="T30" s="335" t="s">
        <v>421</v>
      </c>
      <c r="U30" s="335"/>
      <c r="V30" s="335" t="s">
        <v>853</v>
      </c>
      <c r="W30" s="335" t="s">
        <v>365</v>
      </c>
      <c r="X30" s="335" t="s">
        <v>840</v>
      </c>
      <c r="Y30" s="335" t="s">
        <v>854</v>
      </c>
      <c r="Z30" s="335" t="s">
        <v>804</v>
      </c>
      <c r="AA30" s="335"/>
      <c r="AB30" s="335"/>
      <c r="AC30" s="335" t="s">
        <v>855</v>
      </c>
      <c r="AD30" s="335" t="s">
        <v>856</v>
      </c>
      <c r="AE30" s="335" t="s">
        <v>576</v>
      </c>
      <c r="AF30" s="335" t="s">
        <v>774</v>
      </c>
      <c r="AG30" s="337" t="s">
        <v>98</v>
      </c>
      <c r="AH30" s="338">
        <v>24</v>
      </c>
      <c r="AI30" s="338">
        <v>22.44</v>
      </c>
      <c r="AJ30" s="333"/>
      <c r="AK30" s="333"/>
      <c r="AL30" s="339"/>
      <c r="AM30" s="339"/>
      <c r="AN30" s="339">
        <v>0.56</v>
      </c>
      <c r="AO30" s="339"/>
      <c r="AP30" s="339"/>
      <c r="AQ30" s="339"/>
      <c r="AR30" s="339"/>
      <c r="AS30" s="339"/>
      <c r="AT30" s="339"/>
      <c r="AU30" s="339">
        <v>1</v>
      </c>
      <c r="AV30" s="339">
        <v>24</v>
      </c>
      <c r="AW30" s="339"/>
      <c r="AX30" s="333">
        <v>200</v>
      </c>
      <c r="AY30" s="340" t="s">
        <v>849</v>
      </c>
      <c r="AZ30" s="337">
        <v>0</v>
      </c>
      <c r="BA30" s="291"/>
      <c r="BB30" s="291"/>
      <c r="BC30" s="291"/>
      <c r="BD30" s="291"/>
    </row>
    <row r="31" s="321" customFormat="1" ht="70" customHeight="1" spans="1:56">
      <c r="A31" s="333" t="s">
        <v>85</v>
      </c>
      <c r="B31" s="333" t="s">
        <v>857</v>
      </c>
      <c r="C31" s="334" t="s">
        <v>858</v>
      </c>
      <c r="D31" s="335" t="s">
        <v>859</v>
      </c>
      <c r="E31" s="335" t="s">
        <v>860</v>
      </c>
      <c r="F31" s="335" t="s">
        <v>861</v>
      </c>
      <c r="G31" s="335" t="s">
        <v>319</v>
      </c>
      <c r="H31" s="335"/>
      <c r="I31" s="335" t="s">
        <v>862</v>
      </c>
      <c r="J31" s="335" t="s">
        <v>863</v>
      </c>
      <c r="K31" s="335" t="s">
        <v>864</v>
      </c>
      <c r="L31" s="335" t="s">
        <v>865</v>
      </c>
      <c r="M31" s="335"/>
      <c r="N31" s="335"/>
      <c r="O31" s="335" t="s">
        <v>575</v>
      </c>
      <c r="P31" s="335" t="s">
        <v>866</v>
      </c>
      <c r="Q31" s="335" t="s">
        <v>867</v>
      </c>
      <c r="R31" s="335" t="s">
        <v>868</v>
      </c>
      <c r="S31" s="335" t="s">
        <v>869</v>
      </c>
      <c r="T31" s="335" t="s">
        <v>463</v>
      </c>
      <c r="U31" s="335"/>
      <c r="V31" s="335" t="s">
        <v>644</v>
      </c>
      <c r="W31" s="335" t="s">
        <v>524</v>
      </c>
      <c r="X31" s="336" t="s">
        <v>329</v>
      </c>
      <c r="Y31" s="335" t="s">
        <v>870</v>
      </c>
      <c r="Z31" s="335" t="s">
        <v>773</v>
      </c>
      <c r="AA31" s="335"/>
      <c r="AB31" s="335"/>
      <c r="AC31" s="335" t="s">
        <v>400</v>
      </c>
      <c r="AD31" s="335" t="s">
        <v>871</v>
      </c>
      <c r="AE31" s="335" t="s">
        <v>872</v>
      </c>
      <c r="AF31" s="335" t="s">
        <v>522</v>
      </c>
      <c r="AG31" s="337" t="s">
        <v>85</v>
      </c>
      <c r="AH31" s="338">
        <v>24</v>
      </c>
      <c r="AI31" s="338">
        <v>22</v>
      </c>
      <c r="AJ31" s="333"/>
      <c r="AK31" s="333"/>
      <c r="AL31" s="339"/>
      <c r="AM31" s="339"/>
      <c r="AN31" s="339">
        <v>1</v>
      </c>
      <c r="AO31" s="339"/>
      <c r="AP31" s="339"/>
      <c r="AQ31" s="339"/>
      <c r="AR31" s="339"/>
      <c r="AS31" s="339"/>
      <c r="AT31" s="339"/>
      <c r="AU31" s="339">
        <v>1</v>
      </c>
      <c r="AV31" s="339">
        <v>24</v>
      </c>
      <c r="AW31" s="339"/>
      <c r="AX31" s="333">
        <v>200</v>
      </c>
      <c r="AY31" s="340" t="s">
        <v>873</v>
      </c>
      <c r="AZ31" s="337">
        <v>0</v>
      </c>
      <c r="BA31" s="291"/>
      <c r="BB31" s="291"/>
      <c r="BC31" s="291"/>
      <c r="BD31" s="291"/>
    </row>
    <row r="32" s="321" customFormat="1" ht="70" customHeight="1" spans="1:56">
      <c r="A32" s="337" t="s">
        <v>82</v>
      </c>
      <c r="B32" s="333" t="s">
        <v>857</v>
      </c>
      <c r="C32" s="334" t="s">
        <v>874</v>
      </c>
      <c r="D32" s="335" t="s">
        <v>875</v>
      </c>
      <c r="E32" s="335" t="s">
        <v>693</v>
      </c>
      <c r="F32" s="335" t="s">
        <v>475</v>
      </c>
      <c r="G32" s="335" t="s">
        <v>319</v>
      </c>
      <c r="H32" s="335"/>
      <c r="I32" s="335" t="s">
        <v>876</v>
      </c>
      <c r="J32" s="335" t="s">
        <v>877</v>
      </c>
      <c r="K32" s="335" t="s">
        <v>372</v>
      </c>
      <c r="L32" s="335" t="s">
        <v>371</v>
      </c>
      <c r="M32" s="335"/>
      <c r="N32" s="335"/>
      <c r="O32" s="335" t="s">
        <v>579</v>
      </c>
      <c r="P32" s="335" t="s">
        <v>878</v>
      </c>
      <c r="Q32" s="335" t="s">
        <v>856</v>
      </c>
      <c r="R32" s="335" t="s">
        <v>879</v>
      </c>
      <c r="S32" s="335" t="s">
        <v>880</v>
      </c>
      <c r="T32" s="335" t="s">
        <v>851</v>
      </c>
      <c r="U32" s="335"/>
      <c r="V32" s="335" t="s">
        <v>881</v>
      </c>
      <c r="W32" s="335" t="s">
        <v>774</v>
      </c>
      <c r="X32" s="335" t="s">
        <v>676</v>
      </c>
      <c r="Y32" s="335" t="s">
        <v>438</v>
      </c>
      <c r="Z32" s="336" t="s">
        <v>388</v>
      </c>
      <c r="AA32" s="335"/>
      <c r="AB32" s="335"/>
      <c r="AC32" s="335" t="s">
        <v>882</v>
      </c>
      <c r="AD32" s="335" t="s">
        <v>575</v>
      </c>
      <c r="AE32" s="335" t="s">
        <v>883</v>
      </c>
      <c r="AF32" s="336" t="s">
        <v>884</v>
      </c>
      <c r="AG32" s="344" t="s">
        <v>82</v>
      </c>
      <c r="AH32" s="338">
        <v>24</v>
      </c>
      <c r="AI32" s="338">
        <v>22</v>
      </c>
      <c r="AJ32" s="333"/>
      <c r="AK32" s="333"/>
      <c r="AL32" s="339"/>
      <c r="AM32" s="339">
        <v>1</v>
      </c>
      <c r="AN32" s="339"/>
      <c r="AO32" s="339"/>
      <c r="AP32" s="339"/>
      <c r="AQ32" s="339"/>
      <c r="AR32" s="339"/>
      <c r="AS32" s="339"/>
      <c r="AT32" s="339"/>
      <c r="AU32" s="339">
        <v>1</v>
      </c>
      <c r="AV32" s="339">
        <v>23</v>
      </c>
      <c r="AW32" s="339"/>
      <c r="AX32" s="333"/>
      <c r="AY32" s="340" t="s">
        <v>885</v>
      </c>
      <c r="AZ32" s="337"/>
      <c r="BA32" s="291"/>
      <c r="BB32" s="291"/>
      <c r="BC32" s="291"/>
      <c r="BD32" s="291"/>
    </row>
    <row r="33" s="321" customFormat="1" ht="70" customHeight="1" spans="1:56">
      <c r="A33" s="333" t="s">
        <v>68</v>
      </c>
      <c r="B33" s="333" t="s">
        <v>69</v>
      </c>
      <c r="C33" s="334" t="s">
        <v>886</v>
      </c>
      <c r="D33" s="335" t="s">
        <v>809</v>
      </c>
      <c r="E33" s="335" t="s">
        <v>887</v>
      </c>
      <c r="F33" s="335" t="s">
        <v>888</v>
      </c>
      <c r="G33" s="335" t="s">
        <v>319</v>
      </c>
      <c r="H33" s="335"/>
      <c r="I33" s="335" t="s">
        <v>889</v>
      </c>
      <c r="J33" s="335" t="s">
        <v>649</v>
      </c>
      <c r="K33" s="335" t="s">
        <v>890</v>
      </c>
      <c r="L33" s="335" t="s">
        <v>891</v>
      </c>
      <c r="M33" s="335"/>
      <c r="N33" s="335"/>
      <c r="O33" s="335" t="s">
        <v>892</v>
      </c>
      <c r="P33" s="335" t="s">
        <v>893</v>
      </c>
      <c r="Q33" s="335" t="s">
        <v>894</v>
      </c>
      <c r="R33" s="335" t="s">
        <v>895</v>
      </c>
      <c r="S33" s="335" t="s">
        <v>896</v>
      </c>
      <c r="T33" s="335" t="s">
        <v>897</v>
      </c>
      <c r="U33" s="335"/>
      <c r="V33" s="335" t="s">
        <v>898</v>
      </c>
      <c r="W33" s="335" t="s">
        <v>899</v>
      </c>
      <c r="X33" s="335" t="s">
        <v>428</v>
      </c>
      <c r="Y33" s="335" t="s">
        <v>900</v>
      </c>
      <c r="Z33" s="335" t="s">
        <v>424</v>
      </c>
      <c r="AA33" s="335"/>
      <c r="AB33" s="335"/>
      <c r="AC33" s="335" t="s">
        <v>901</v>
      </c>
      <c r="AD33" s="335" t="s">
        <v>902</v>
      </c>
      <c r="AE33" s="335" t="s">
        <v>903</v>
      </c>
      <c r="AF33" s="335" t="s">
        <v>904</v>
      </c>
      <c r="AG33" s="337" t="s">
        <v>68</v>
      </c>
      <c r="AH33" s="338">
        <v>24</v>
      </c>
      <c r="AI33" s="338">
        <v>23</v>
      </c>
      <c r="AJ33" s="333"/>
      <c r="AK33" s="333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>
        <v>1</v>
      </c>
      <c r="AV33" s="339">
        <v>24</v>
      </c>
      <c r="AW33" s="339"/>
      <c r="AX33" s="333">
        <v>200</v>
      </c>
      <c r="AY33" s="340" t="s">
        <v>256</v>
      </c>
      <c r="AZ33" s="337">
        <v>8</v>
      </c>
      <c r="BA33" s="291"/>
      <c r="BB33" s="291"/>
      <c r="BC33" s="291"/>
      <c r="BD33" s="291"/>
    </row>
    <row r="34" s="321" customFormat="1" ht="70" customHeight="1" spans="1:56">
      <c r="A34" s="333" t="s">
        <v>90</v>
      </c>
      <c r="B34" s="333" t="s">
        <v>314</v>
      </c>
      <c r="C34" s="341" t="s">
        <v>500</v>
      </c>
      <c r="D34" s="336" t="s">
        <v>500</v>
      </c>
      <c r="E34" s="336" t="s">
        <v>500</v>
      </c>
      <c r="F34" s="336" t="s">
        <v>500</v>
      </c>
      <c r="G34" s="336" t="s">
        <v>500</v>
      </c>
      <c r="H34" s="336" t="s">
        <v>905</v>
      </c>
      <c r="I34" s="336" t="s">
        <v>500</v>
      </c>
      <c r="J34" s="336" t="s">
        <v>500</v>
      </c>
      <c r="K34" s="336" t="s">
        <v>500</v>
      </c>
      <c r="L34" s="336" t="s">
        <v>500</v>
      </c>
      <c r="M34" s="336" t="s">
        <v>905</v>
      </c>
      <c r="N34" s="336" t="s">
        <v>905</v>
      </c>
      <c r="O34" s="336" t="s">
        <v>500</v>
      </c>
      <c r="P34" s="336" t="s">
        <v>500</v>
      </c>
      <c r="Q34" s="336" t="s">
        <v>500</v>
      </c>
      <c r="R34" s="336" t="s">
        <v>500</v>
      </c>
      <c r="S34" s="336" t="s">
        <v>500</v>
      </c>
      <c r="T34" s="336" t="s">
        <v>500</v>
      </c>
      <c r="U34" s="336" t="s">
        <v>905</v>
      </c>
      <c r="V34" s="336" t="s">
        <v>500</v>
      </c>
      <c r="W34" s="336" t="s">
        <v>500</v>
      </c>
      <c r="X34" s="336" t="s">
        <v>500</v>
      </c>
      <c r="Y34" s="336" t="s">
        <v>500</v>
      </c>
      <c r="Z34" s="336" t="s">
        <v>500</v>
      </c>
      <c r="AA34" s="336" t="s">
        <v>905</v>
      </c>
      <c r="AB34" s="336" t="s">
        <v>905</v>
      </c>
      <c r="AC34" s="336" t="s">
        <v>500</v>
      </c>
      <c r="AD34" s="336" t="s">
        <v>500</v>
      </c>
      <c r="AE34" s="336" t="s">
        <v>500</v>
      </c>
      <c r="AF34" s="336" t="s">
        <v>500</v>
      </c>
      <c r="AG34" s="345" t="s">
        <v>90</v>
      </c>
      <c r="AH34" s="338">
        <v>24</v>
      </c>
      <c r="AI34" s="333">
        <v>0</v>
      </c>
      <c r="AJ34" s="333"/>
      <c r="AK34" s="333"/>
      <c r="AL34" s="339"/>
      <c r="AM34" s="339"/>
      <c r="AN34" s="339"/>
      <c r="AO34" s="339"/>
      <c r="AP34" s="339"/>
      <c r="AQ34" s="339"/>
      <c r="AR34" s="339">
        <v>24</v>
      </c>
      <c r="AS34" s="339"/>
      <c r="AT34" s="339"/>
      <c r="AU34" s="339"/>
      <c r="AV34" s="346">
        <v>0</v>
      </c>
      <c r="AW34" s="339"/>
      <c r="AX34" s="333"/>
      <c r="AY34" s="340" t="s">
        <v>906</v>
      </c>
      <c r="AZ34" s="337">
        <v>0</v>
      </c>
      <c r="BA34" s="291"/>
      <c r="BB34" s="291"/>
      <c r="BC34" s="291"/>
      <c r="BD34" s="291"/>
    </row>
    <row r="35" s="321" customFormat="1" ht="70" customHeight="1" spans="1:56">
      <c r="A35" s="333" t="s">
        <v>140</v>
      </c>
      <c r="B35" s="333" t="s">
        <v>907</v>
      </c>
      <c r="C35" s="334" t="s">
        <v>908</v>
      </c>
      <c r="D35" s="335" t="s">
        <v>790</v>
      </c>
      <c r="E35" s="335" t="s">
        <v>677</v>
      </c>
      <c r="F35" s="335" t="s">
        <v>792</v>
      </c>
      <c r="G35" s="335" t="s">
        <v>319</v>
      </c>
      <c r="H35" s="335"/>
      <c r="I35" s="335" t="s">
        <v>909</v>
      </c>
      <c r="J35" s="335" t="s">
        <v>910</v>
      </c>
      <c r="K35" s="335" t="s">
        <v>790</v>
      </c>
      <c r="L35" s="335" t="s">
        <v>798</v>
      </c>
      <c r="M35" s="335"/>
      <c r="N35" s="335"/>
      <c r="O35" s="335" t="s">
        <v>792</v>
      </c>
      <c r="P35" s="335" t="s">
        <v>911</v>
      </c>
      <c r="Q35" s="335" t="s">
        <v>668</v>
      </c>
      <c r="R35" s="335" t="s">
        <v>909</v>
      </c>
      <c r="S35" s="335" t="s">
        <v>912</v>
      </c>
      <c r="T35" s="335" t="s">
        <v>913</v>
      </c>
      <c r="U35" s="335"/>
      <c r="V35" s="335" t="s">
        <v>665</v>
      </c>
      <c r="W35" s="335" t="s">
        <v>870</v>
      </c>
      <c r="X35" s="335" t="s">
        <v>914</v>
      </c>
      <c r="Y35" s="335" t="s">
        <v>915</v>
      </c>
      <c r="Z35" s="335" t="s">
        <v>665</v>
      </c>
      <c r="AA35" s="335"/>
      <c r="AB35" s="335"/>
      <c r="AC35" s="335" t="s">
        <v>916</v>
      </c>
      <c r="AD35" s="335" t="s">
        <v>917</v>
      </c>
      <c r="AE35" s="335" t="s">
        <v>791</v>
      </c>
      <c r="AF35" s="335" t="s">
        <v>918</v>
      </c>
      <c r="AG35" s="337" t="s">
        <v>140</v>
      </c>
      <c r="AH35" s="338">
        <v>24</v>
      </c>
      <c r="AI35" s="338">
        <v>23</v>
      </c>
      <c r="AJ35" s="333"/>
      <c r="AK35" s="333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>
        <v>1</v>
      </c>
      <c r="AV35" s="339">
        <v>24</v>
      </c>
      <c r="AW35" s="339"/>
      <c r="AX35" s="333">
        <v>200</v>
      </c>
      <c r="AY35" s="340" t="s">
        <v>256</v>
      </c>
      <c r="AZ35" s="337">
        <v>0</v>
      </c>
      <c r="BA35" s="291"/>
      <c r="BB35" s="291"/>
      <c r="BC35" s="291"/>
      <c r="BD35" s="291"/>
    </row>
    <row r="36" s="321" customFormat="1" ht="70" customHeight="1" spans="1:56">
      <c r="A36" s="333" t="s">
        <v>110</v>
      </c>
      <c r="B36" s="333" t="s">
        <v>786</v>
      </c>
      <c r="C36" s="334" t="s">
        <v>776</v>
      </c>
      <c r="D36" s="335" t="s">
        <v>804</v>
      </c>
      <c r="E36" s="335" t="s">
        <v>564</v>
      </c>
      <c r="F36" s="336" t="s">
        <v>388</v>
      </c>
      <c r="G36" s="335" t="s">
        <v>319</v>
      </c>
      <c r="H36" s="335"/>
      <c r="I36" s="335" t="s">
        <v>328</v>
      </c>
      <c r="J36" s="335" t="s">
        <v>629</v>
      </c>
      <c r="K36" s="335" t="s">
        <v>577</v>
      </c>
      <c r="L36" s="335" t="s">
        <v>466</v>
      </c>
      <c r="M36" s="335"/>
      <c r="N36" s="335"/>
      <c r="O36" s="335" t="s">
        <v>919</v>
      </c>
      <c r="P36" s="335" t="s">
        <v>851</v>
      </c>
      <c r="Q36" s="335" t="s">
        <v>776</v>
      </c>
      <c r="R36" s="335" t="s">
        <v>851</v>
      </c>
      <c r="S36" s="335" t="s">
        <v>412</v>
      </c>
      <c r="T36" s="335" t="s">
        <v>920</v>
      </c>
      <c r="U36" s="335"/>
      <c r="V36" s="335" t="s">
        <v>564</v>
      </c>
      <c r="W36" s="335" t="s">
        <v>564</v>
      </c>
      <c r="X36" s="335" t="s">
        <v>921</v>
      </c>
      <c r="Y36" s="335" t="s">
        <v>920</v>
      </c>
      <c r="Z36" s="336" t="s">
        <v>388</v>
      </c>
      <c r="AA36" s="335"/>
      <c r="AB36" s="335"/>
      <c r="AC36" s="335" t="s">
        <v>779</v>
      </c>
      <c r="AD36" s="335" t="s">
        <v>579</v>
      </c>
      <c r="AE36" s="335" t="s">
        <v>470</v>
      </c>
      <c r="AF36" s="335" t="s">
        <v>408</v>
      </c>
      <c r="AG36" s="337" t="s">
        <v>110</v>
      </c>
      <c r="AH36" s="338">
        <v>24</v>
      </c>
      <c r="AI36" s="338">
        <v>21</v>
      </c>
      <c r="AJ36" s="333"/>
      <c r="AK36" s="333"/>
      <c r="AL36" s="339"/>
      <c r="AM36" s="339">
        <v>2</v>
      </c>
      <c r="AN36" s="339"/>
      <c r="AO36" s="339"/>
      <c r="AP36" s="339"/>
      <c r="AQ36" s="339"/>
      <c r="AR36" s="339"/>
      <c r="AS36" s="339"/>
      <c r="AT36" s="339"/>
      <c r="AU36" s="339">
        <v>1</v>
      </c>
      <c r="AV36" s="339">
        <v>22</v>
      </c>
      <c r="AW36" s="339"/>
      <c r="AX36" s="333"/>
      <c r="AY36" s="340" t="s">
        <v>922</v>
      </c>
      <c r="AZ36" s="337">
        <v>0</v>
      </c>
      <c r="BA36" s="291"/>
      <c r="BB36" s="291"/>
      <c r="BC36" s="291"/>
      <c r="BD36" s="291"/>
    </row>
    <row r="37" s="321" customFormat="1" ht="70" customHeight="1" spans="1:56">
      <c r="A37" s="333" t="s">
        <v>94</v>
      </c>
      <c r="B37" s="333" t="s">
        <v>314</v>
      </c>
      <c r="C37" s="341" t="s">
        <v>923</v>
      </c>
      <c r="D37" s="336" t="s">
        <v>923</v>
      </c>
      <c r="E37" s="336" t="s">
        <v>923</v>
      </c>
      <c r="F37" s="336" t="s">
        <v>923</v>
      </c>
      <c r="G37" s="335" t="s">
        <v>319</v>
      </c>
      <c r="H37" s="335"/>
      <c r="I37" s="335" t="s">
        <v>428</v>
      </c>
      <c r="J37" s="335" t="s">
        <v>924</v>
      </c>
      <c r="K37" s="335" t="s">
        <v>925</v>
      </c>
      <c r="L37" s="335" t="s">
        <v>779</v>
      </c>
      <c r="M37" s="335"/>
      <c r="N37" s="335"/>
      <c r="O37" s="335" t="s">
        <v>351</v>
      </c>
      <c r="P37" s="335" t="s">
        <v>863</v>
      </c>
      <c r="Q37" s="335" t="s">
        <v>926</v>
      </c>
      <c r="R37" s="335" t="s">
        <v>927</v>
      </c>
      <c r="S37" s="343" t="s">
        <v>928</v>
      </c>
      <c r="T37" s="335" t="s">
        <v>929</v>
      </c>
      <c r="U37" s="335"/>
      <c r="V37" s="335" t="s">
        <v>416</v>
      </c>
      <c r="W37" s="343" t="s">
        <v>930</v>
      </c>
      <c r="X37" s="335" t="s">
        <v>931</v>
      </c>
      <c r="Y37" s="335" t="s">
        <v>773</v>
      </c>
      <c r="Z37" s="343" t="s">
        <v>932</v>
      </c>
      <c r="AA37" s="335"/>
      <c r="AB37" s="335"/>
      <c r="AC37" s="335" t="s">
        <v>397</v>
      </c>
      <c r="AD37" s="335" t="s">
        <v>933</v>
      </c>
      <c r="AE37" s="335" t="s">
        <v>883</v>
      </c>
      <c r="AF37" s="335" t="s">
        <v>877</v>
      </c>
      <c r="AG37" s="337" t="s">
        <v>94</v>
      </c>
      <c r="AH37" s="338">
        <v>24</v>
      </c>
      <c r="AI37" s="338">
        <v>19</v>
      </c>
      <c r="AJ37" s="333">
        <v>10</v>
      </c>
      <c r="AK37" s="333">
        <v>1</v>
      </c>
      <c r="AL37" s="339"/>
      <c r="AM37" s="339"/>
      <c r="AN37" s="339"/>
      <c r="AO37" s="339">
        <v>4</v>
      </c>
      <c r="AP37" s="339"/>
      <c r="AQ37" s="339"/>
      <c r="AR37" s="339"/>
      <c r="AS37" s="339"/>
      <c r="AT37" s="339"/>
      <c r="AU37" s="339">
        <v>1</v>
      </c>
      <c r="AV37" s="339">
        <v>20</v>
      </c>
      <c r="AW37" s="339"/>
      <c r="AX37" s="333"/>
      <c r="AY37" s="340" t="s">
        <v>934</v>
      </c>
      <c r="AZ37" s="337">
        <v>0</v>
      </c>
      <c r="BA37" s="291"/>
      <c r="BB37" s="291"/>
      <c r="BC37" s="291"/>
      <c r="BD37" s="291"/>
    </row>
    <row r="38" s="321" customFormat="1" ht="70" customHeight="1" spans="1:56">
      <c r="A38" s="333" t="s">
        <v>112</v>
      </c>
      <c r="B38" s="333" t="s">
        <v>935</v>
      </c>
      <c r="C38" s="334" t="s">
        <v>936</v>
      </c>
      <c r="D38" s="335" t="s">
        <v>899</v>
      </c>
      <c r="E38" s="335" t="s">
        <v>937</v>
      </c>
      <c r="F38" s="335" t="s">
        <v>563</v>
      </c>
      <c r="G38" s="335" t="s">
        <v>319</v>
      </c>
      <c r="H38" s="335"/>
      <c r="I38" s="335" t="s">
        <v>889</v>
      </c>
      <c r="J38" s="335" t="s">
        <v>938</v>
      </c>
      <c r="K38" s="335" t="s">
        <v>939</v>
      </c>
      <c r="L38" s="335" t="s">
        <v>940</v>
      </c>
      <c r="M38" s="335"/>
      <c r="N38" s="335"/>
      <c r="O38" s="335" t="s">
        <v>890</v>
      </c>
      <c r="P38" s="335" t="s">
        <v>941</v>
      </c>
      <c r="Q38" s="335" t="s">
        <v>942</v>
      </c>
      <c r="R38" s="335" t="s">
        <v>790</v>
      </c>
      <c r="S38" s="335" t="s">
        <v>943</v>
      </c>
      <c r="T38" s="335" t="s">
        <v>944</v>
      </c>
      <c r="U38" s="335"/>
      <c r="V38" s="335" t="s">
        <v>945</v>
      </c>
      <c r="W38" s="335" t="s">
        <v>946</v>
      </c>
      <c r="X38" s="335" t="s">
        <v>816</v>
      </c>
      <c r="Y38" s="335" t="s">
        <v>947</v>
      </c>
      <c r="Z38" s="335" t="s">
        <v>948</v>
      </c>
      <c r="AA38" s="335"/>
      <c r="AB38" s="335"/>
      <c r="AC38" s="335" t="s">
        <v>949</v>
      </c>
      <c r="AD38" s="335" t="s">
        <v>950</v>
      </c>
      <c r="AE38" s="335" t="s">
        <v>951</v>
      </c>
      <c r="AF38" s="335" t="s">
        <v>952</v>
      </c>
      <c r="AG38" s="337" t="s">
        <v>112</v>
      </c>
      <c r="AH38" s="338">
        <v>24</v>
      </c>
      <c r="AI38" s="338">
        <v>23</v>
      </c>
      <c r="AJ38" s="333"/>
      <c r="AK38" s="333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>
        <v>1</v>
      </c>
      <c r="AV38" s="339">
        <v>24</v>
      </c>
      <c r="AW38" s="339"/>
      <c r="AX38" s="333">
        <v>200</v>
      </c>
      <c r="AY38" s="340" t="s">
        <v>256</v>
      </c>
      <c r="AZ38" s="337">
        <v>21</v>
      </c>
      <c r="BA38" s="291"/>
      <c r="BB38" s="291"/>
      <c r="BC38" s="291"/>
      <c r="BD38" s="291"/>
    </row>
    <row r="39" s="321" customFormat="1" ht="70" customHeight="1" spans="1:56">
      <c r="A39" s="333" t="s">
        <v>96</v>
      </c>
      <c r="B39" s="333" t="s">
        <v>857</v>
      </c>
      <c r="C39" s="334" t="s">
        <v>848</v>
      </c>
      <c r="D39" s="335" t="s">
        <v>953</v>
      </c>
      <c r="E39" s="335" t="s">
        <v>953</v>
      </c>
      <c r="F39" s="343" t="s">
        <v>954</v>
      </c>
      <c r="G39" s="335" t="s">
        <v>319</v>
      </c>
      <c r="H39" s="335"/>
      <c r="I39" s="335" t="s">
        <v>955</v>
      </c>
      <c r="J39" s="335" t="s">
        <v>956</v>
      </c>
      <c r="K39" s="335" t="s">
        <v>377</v>
      </c>
      <c r="L39" s="335" t="s">
        <v>690</v>
      </c>
      <c r="M39" s="335"/>
      <c r="N39" s="335"/>
      <c r="O39" s="335" t="s">
        <v>953</v>
      </c>
      <c r="P39" s="335" t="s">
        <v>700</v>
      </c>
      <c r="Q39" s="335" t="s">
        <v>840</v>
      </c>
      <c r="R39" s="335" t="s">
        <v>844</v>
      </c>
      <c r="S39" s="335" t="s">
        <v>957</v>
      </c>
      <c r="T39" s="335" t="s">
        <v>779</v>
      </c>
      <c r="U39" s="335"/>
      <c r="V39" s="343" t="s">
        <v>958</v>
      </c>
      <c r="W39" s="336" t="s">
        <v>923</v>
      </c>
      <c r="X39" s="343" t="s">
        <v>959</v>
      </c>
      <c r="Y39" s="335" t="s">
        <v>838</v>
      </c>
      <c r="Z39" s="335" t="s">
        <v>953</v>
      </c>
      <c r="AA39" s="335"/>
      <c r="AB39" s="335"/>
      <c r="AC39" s="335" t="s">
        <v>960</v>
      </c>
      <c r="AD39" s="335" t="s">
        <v>955</v>
      </c>
      <c r="AE39" s="335" t="s">
        <v>961</v>
      </c>
      <c r="AF39" s="335" t="s">
        <v>562</v>
      </c>
      <c r="AG39" s="337" t="s">
        <v>96</v>
      </c>
      <c r="AH39" s="338">
        <v>24</v>
      </c>
      <c r="AI39" s="338">
        <v>22</v>
      </c>
      <c r="AJ39" s="333">
        <v>4</v>
      </c>
      <c r="AK39" s="333"/>
      <c r="AL39" s="339"/>
      <c r="AM39" s="339"/>
      <c r="AN39" s="339"/>
      <c r="AO39" s="339">
        <v>1</v>
      </c>
      <c r="AP39" s="339"/>
      <c r="AQ39" s="339"/>
      <c r="AR39" s="339"/>
      <c r="AS39" s="339"/>
      <c r="AT39" s="339"/>
      <c r="AU39" s="339">
        <v>1</v>
      </c>
      <c r="AV39" s="339">
        <v>23</v>
      </c>
      <c r="AW39" s="339"/>
      <c r="AX39" s="333"/>
      <c r="AY39" s="340" t="s">
        <v>962</v>
      </c>
      <c r="AZ39" s="337">
        <v>0</v>
      </c>
      <c r="BA39" s="291"/>
      <c r="BB39" s="291"/>
      <c r="BC39" s="291"/>
      <c r="BD39" s="291"/>
    </row>
    <row r="40" s="321" customFormat="1" ht="70" customHeight="1" spans="1:56">
      <c r="A40" s="333" t="s">
        <v>36</v>
      </c>
      <c r="B40" s="333" t="s">
        <v>28</v>
      </c>
      <c r="C40" s="334" t="s">
        <v>429</v>
      </c>
      <c r="D40" s="335" t="s">
        <v>963</v>
      </c>
      <c r="E40" s="335" t="s">
        <v>964</v>
      </c>
      <c r="F40" s="335" t="s">
        <v>438</v>
      </c>
      <c r="G40" s="335" t="s">
        <v>319</v>
      </c>
      <c r="H40" s="335"/>
      <c r="I40" s="335" t="s">
        <v>396</v>
      </c>
      <c r="J40" s="335" t="s">
        <v>965</v>
      </c>
      <c r="K40" s="335" t="s">
        <v>966</v>
      </c>
      <c r="L40" s="335" t="s">
        <v>967</v>
      </c>
      <c r="M40" s="335"/>
      <c r="N40" s="335"/>
      <c r="O40" s="335" t="s">
        <v>472</v>
      </c>
      <c r="P40" s="335" t="s">
        <v>416</v>
      </c>
      <c r="Q40" s="335" t="s">
        <v>967</v>
      </c>
      <c r="R40" s="335" t="s">
        <v>567</v>
      </c>
      <c r="S40" s="335" t="s">
        <v>968</v>
      </c>
      <c r="T40" s="335" t="s">
        <v>438</v>
      </c>
      <c r="U40" s="335"/>
      <c r="V40" s="335" t="s">
        <v>579</v>
      </c>
      <c r="W40" s="335" t="s">
        <v>579</v>
      </c>
      <c r="X40" s="336" t="s">
        <v>969</v>
      </c>
      <c r="Y40" s="335" t="s">
        <v>970</v>
      </c>
      <c r="Z40" s="335" t="s">
        <v>323</v>
      </c>
      <c r="AA40" s="335"/>
      <c r="AB40" s="335"/>
      <c r="AC40" s="335" t="s">
        <v>971</v>
      </c>
      <c r="AD40" s="335" t="s">
        <v>406</v>
      </c>
      <c r="AE40" s="335" t="s">
        <v>404</v>
      </c>
      <c r="AF40" s="335" t="s">
        <v>781</v>
      </c>
      <c r="AG40" s="337" t="s">
        <v>36</v>
      </c>
      <c r="AH40" s="338">
        <v>24</v>
      </c>
      <c r="AI40" s="338">
        <v>23</v>
      </c>
      <c r="AJ40" s="333"/>
      <c r="AK40" s="333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>
        <v>1</v>
      </c>
      <c r="AV40" s="339">
        <v>24</v>
      </c>
      <c r="AW40" s="339"/>
      <c r="AX40" s="333">
        <v>200</v>
      </c>
      <c r="AY40" s="340" t="s">
        <v>972</v>
      </c>
      <c r="AZ40" s="337">
        <v>2</v>
      </c>
      <c r="BA40" s="291"/>
      <c r="BB40" s="291"/>
      <c r="BC40" s="291"/>
      <c r="BD40" s="291"/>
    </row>
    <row r="41" s="321" customFormat="1" ht="70" customHeight="1" spans="1:56">
      <c r="A41" s="333" t="s">
        <v>43</v>
      </c>
      <c r="B41" s="333" t="s">
        <v>39</v>
      </c>
      <c r="C41" s="334" t="s">
        <v>676</v>
      </c>
      <c r="D41" s="335" t="s">
        <v>915</v>
      </c>
      <c r="E41" s="335" t="s">
        <v>578</v>
      </c>
      <c r="F41" s="335" t="s">
        <v>778</v>
      </c>
      <c r="G41" s="335" t="s">
        <v>319</v>
      </c>
      <c r="H41" s="335"/>
      <c r="I41" s="335" t="s">
        <v>929</v>
      </c>
      <c r="J41" s="335" t="s">
        <v>676</v>
      </c>
      <c r="K41" s="335" t="s">
        <v>973</v>
      </c>
      <c r="L41" s="335" t="s">
        <v>916</v>
      </c>
      <c r="M41" s="335"/>
      <c r="N41" s="335"/>
      <c r="O41" s="335" t="s">
        <v>574</v>
      </c>
      <c r="P41" s="335" t="s">
        <v>974</v>
      </c>
      <c r="Q41" s="335" t="s">
        <v>975</v>
      </c>
      <c r="R41" s="335" t="s">
        <v>976</v>
      </c>
      <c r="S41" s="335" t="s">
        <v>937</v>
      </c>
      <c r="T41" s="335" t="s">
        <v>977</v>
      </c>
      <c r="U41" s="335"/>
      <c r="V41" s="335" t="s">
        <v>978</v>
      </c>
      <c r="W41" s="335" t="s">
        <v>973</v>
      </c>
      <c r="X41" s="335" t="s">
        <v>676</v>
      </c>
      <c r="Y41" s="335" t="s">
        <v>979</v>
      </c>
      <c r="Z41" s="335" t="s">
        <v>532</v>
      </c>
      <c r="AA41" s="335"/>
      <c r="AB41" s="335"/>
      <c r="AC41" s="335" t="s">
        <v>980</v>
      </c>
      <c r="AD41" s="335" t="s">
        <v>976</v>
      </c>
      <c r="AE41" s="335" t="s">
        <v>981</v>
      </c>
      <c r="AF41" s="335" t="s">
        <v>982</v>
      </c>
      <c r="AG41" s="337" t="s">
        <v>43</v>
      </c>
      <c r="AH41" s="338">
        <v>24</v>
      </c>
      <c r="AI41" s="338">
        <v>23</v>
      </c>
      <c r="AJ41" s="333"/>
      <c r="AK41" s="333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>
        <v>1</v>
      </c>
      <c r="AV41" s="339">
        <v>24</v>
      </c>
      <c r="AW41" s="339"/>
      <c r="AX41" s="333">
        <v>200</v>
      </c>
      <c r="AY41" s="340" t="s">
        <v>256</v>
      </c>
      <c r="AZ41" s="337">
        <v>0</v>
      </c>
      <c r="BA41" s="291"/>
      <c r="BB41" s="291"/>
      <c r="BC41" s="291"/>
      <c r="BD41" s="291"/>
    </row>
    <row r="42" s="321" customFormat="1" ht="70" customHeight="1" spans="1:56">
      <c r="A42" s="333" t="s">
        <v>66</v>
      </c>
      <c r="B42" s="333" t="s">
        <v>64</v>
      </c>
      <c r="C42" s="334" t="s">
        <v>983</v>
      </c>
      <c r="D42" s="335" t="s">
        <v>984</v>
      </c>
      <c r="E42" s="335" t="s">
        <v>985</v>
      </c>
      <c r="F42" s="335" t="s">
        <v>986</v>
      </c>
      <c r="G42" s="335" t="s">
        <v>319</v>
      </c>
      <c r="H42" s="335"/>
      <c r="I42" s="335" t="s">
        <v>557</v>
      </c>
      <c r="J42" s="335" t="s">
        <v>987</v>
      </c>
      <c r="K42" s="335" t="s">
        <v>988</v>
      </c>
      <c r="L42" s="335" t="s">
        <v>989</v>
      </c>
      <c r="M42" s="335"/>
      <c r="N42" s="335"/>
      <c r="O42" s="335" t="s">
        <v>990</v>
      </c>
      <c r="P42" s="335" t="s">
        <v>991</v>
      </c>
      <c r="Q42" s="335" t="s">
        <v>992</v>
      </c>
      <c r="R42" s="335" t="s">
        <v>760</v>
      </c>
      <c r="S42" s="335" t="s">
        <v>993</v>
      </c>
      <c r="T42" s="335" t="s">
        <v>994</v>
      </c>
      <c r="U42" s="335"/>
      <c r="V42" s="335" t="s">
        <v>952</v>
      </c>
      <c r="W42" s="335" t="s">
        <v>995</v>
      </c>
      <c r="X42" s="335" t="s">
        <v>364</v>
      </c>
      <c r="Y42" s="335" t="s">
        <v>996</v>
      </c>
      <c r="Z42" s="335" t="s">
        <v>997</v>
      </c>
      <c r="AA42" s="335"/>
      <c r="AB42" s="335"/>
      <c r="AC42" s="335" t="s">
        <v>588</v>
      </c>
      <c r="AD42" s="335" t="s">
        <v>998</v>
      </c>
      <c r="AE42" s="335" t="s">
        <v>999</v>
      </c>
      <c r="AF42" s="335" t="s">
        <v>1000</v>
      </c>
      <c r="AG42" s="337" t="s">
        <v>66</v>
      </c>
      <c r="AH42" s="338">
        <v>24</v>
      </c>
      <c r="AI42" s="338">
        <v>23</v>
      </c>
      <c r="AJ42" s="333"/>
      <c r="AK42" s="333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>
        <v>1</v>
      </c>
      <c r="AV42" s="339">
        <v>24</v>
      </c>
      <c r="AW42" s="339"/>
      <c r="AX42" s="333">
        <v>200</v>
      </c>
      <c r="AY42" s="340" t="s">
        <v>256</v>
      </c>
      <c r="AZ42" s="337">
        <v>24</v>
      </c>
      <c r="BA42" s="291"/>
      <c r="BB42" s="291"/>
      <c r="BC42" s="291"/>
      <c r="BD42" s="291"/>
    </row>
    <row r="43" s="321" customFormat="1" ht="70" customHeight="1" spans="1:56">
      <c r="A43" s="333" t="s">
        <v>136</v>
      </c>
      <c r="B43" s="333" t="s">
        <v>662</v>
      </c>
      <c r="C43" s="334" t="s">
        <v>977</v>
      </c>
      <c r="D43" s="335" t="s">
        <v>533</v>
      </c>
      <c r="E43" s="335" t="s">
        <v>917</v>
      </c>
      <c r="F43" s="335" t="s">
        <v>1001</v>
      </c>
      <c r="G43" s="335" t="s">
        <v>319</v>
      </c>
      <c r="H43" s="335"/>
      <c r="I43" s="335" t="s">
        <v>1002</v>
      </c>
      <c r="J43" s="335" t="s">
        <v>1003</v>
      </c>
      <c r="K43" s="335" t="s">
        <v>1004</v>
      </c>
      <c r="L43" s="335" t="s">
        <v>1005</v>
      </c>
      <c r="M43" s="335"/>
      <c r="N43" s="335"/>
      <c r="O43" s="335" t="s">
        <v>975</v>
      </c>
      <c r="P43" s="335" t="s">
        <v>1006</v>
      </c>
      <c r="Q43" s="335" t="s">
        <v>1007</v>
      </c>
      <c r="R43" s="335" t="s">
        <v>1008</v>
      </c>
      <c r="S43" s="335" t="s">
        <v>1009</v>
      </c>
      <c r="T43" s="335" t="s">
        <v>677</v>
      </c>
      <c r="U43" s="335"/>
      <c r="V43" s="335" t="s">
        <v>1010</v>
      </c>
      <c r="W43" s="335" t="s">
        <v>976</v>
      </c>
      <c r="X43" s="335" t="s">
        <v>1011</v>
      </c>
      <c r="Y43" s="335" t="s">
        <v>1012</v>
      </c>
      <c r="Z43" s="335" t="s">
        <v>385</v>
      </c>
      <c r="AA43" s="335"/>
      <c r="AB43" s="335"/>
      <c r="AC43" s="335" t="s">
        <v>386</v>
      </c>
      <c r="AD43" s="335" t="s">
        <v>1013</v>
      </c>
      <c r="AE43" s="335" t="s">
        <v>912</v>
      </c>
      <c r="AF43" s="335" t="s">
        <v>1014</v>
      </c>
      <c r="AG43" s="337" t="s">
        <v>136</v>
      </c>
      <c r="AH43" s="338">
        <v>24</v>
      </c>
      <c r="AI43" s="338">
        <v>23</v>
      </c>
      <c r="AJ43" s="333"/>
      <c r="AK43" s="333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>
        <v>1</v>
      </c>
      <c r="AV43" s="339">
        <v>24</v>
      </c>
      <c r="AW43" s="339"/>
      <c r="AX43" s="333">
        <v>200</v>
      </c>
      <c r="AY43" s="340" t="s">
        <v>256</v>
      </c>
      <c r="AZ43" s="337">
        <v>0</v>
      </c>
      <c r="BA43" s="291"/>
      <c r="BB43" s="291"/>
      <c r="BC43" s="291"/>
      <c r="BD43" s="291"/>
    </row>
    <row r="44" s="321" customFormat="1" ht="70" customHeight="1" spans="1:56">
      <c r="A44" s="333" t="s">
        <v>32</v>
      </c>
      <c r="B44" s="333" t="s">
        <v>28</v>
      </c>
      <c r="C44" s="334" t="s">
        <v>1015</v>
      </c>
      <c r="D44" s="335" t="s">
        <v>1016</v>
      </c>
      <c r="E44" s="335" t="s">
        <v>1017</v>
      </c>
      <c r="F44" s="335" t="s">
        <v>1018</v>
      </c>
      <c r="G44" s="335" t="s">
        <v>319</v>
      </c>
      <c r="H44" s="335"/>
      <c r="I44" s="335" t="s">
        <v>1019</v>
      </c>
      <c r="J44" s="335" t="s">
        <v>952</v>
      </c>
      <c r="K44" s="335" t="s">
        <v>1020</v>
      </c>
      <c r="L44" s="335" t="s">
        <v>1021</v>
      </c>
      <c r="M44" s="335"/>
      <c r="N44" s="335"/>
      <c r="O44" s="335" t="s">
        <v>1022</v>
      </c>
      <c r="P44" s="335" t="s">
        <v>1023</v>
      </c>
      <c r="Q44" s="335" t="s">
        <v>1024</v>
      </c>
      <c r="R44" s="335" t="s">
        <v>1025</v>
      </c>
      <c r="S44" s="335" t="s">
        <v>1026</v>
      </c>
      <c r="T44" s="335" t="s">
        <v>1027</v>
      </c>
      <c r="U44" s="335"/>
      <c r="V44" s="335" t="s">
        <v>424</v>
      </c>
      <c r="W44" s="335" t="s">
        <v>1028</v>
      </c>
      <c r="X44" s="335" t="s">
        <v>1029</v>
      </c>
      <c r="Y44" s="335" t="s">
        <v>1030</v>
      </c>
      <c r="Z44" s="335" t="s">
        <v>1031</v>
      </c>
      <c r="AA44" s="335"/>
      <c r="AB44" s="335"/>
      <c r="AC44" s="335" t="s">
        <v>1032</v>
      </c>
      <c r="AD44" s="336" t="s">
        <v>1033</v>
      </c>
      <c r="AE44" s="335" t="s">
        <v>1034</v>
      </c>
      <c r="AF44" s="335" t="s">
        <v>1035</v>
      </c>
      <c r="AG44" s="337" t="s">
        <v>32</v>
      </c>
      <c r="AH44" s="338">
        <v>24</v>
      </c>
      <c r="AI44" s="338">
        <v>23</v>
      </c>
      <c r="AJ44" s="333"/>
      <c r="AK44" s="333"/>
      <c r="AL44" s="339"/>
      <c r="AM44" s="339"/>
      <c r="AN44" s="339"/>
      <c r="AO44" s="339"/>
      <c r="AP44" s="339"/>
      <c r="AQ44" s="339"/>
      <c r="AR44" s="339"/>
      <c r="AS44" s="339"/>
      <c r="AT44" s="339"/>
      <c r="AU44" s="339">
        <v>1</v>
      </c>
      <c r="AV44" s="339">
        <v>24</v>
      </c>
      <c r="AW44" s="339"/>
      <c r="AX44" s="333">
        <v>200</v>
      </c>
      <c r="AY44" s="340" t="s">
        <v>1036</v>
      </c>
      <c r="AZ44" s="337">
        <v>18.5</v>
      </c>
      <c r="BA44" s="291"/>
      <c r="BB44" s="291"/>
      <c r="BC44" s="291"/>
      <c r="BD44" s="291"/>
    </row>
    <row r="45" s="321" customFormat="1" ht="70" customHeight="1" spans="1:56">
      <c r="A45" s="333" t="s">
        <v>52</v>
      </c>
      <c r="B45" s="333" t="s">
        <v>46</v>
      </c>
      <c r="C45" s="334" t="s">
        <v>376</v>
      </c>
      <c r="D45" s="335" t="s">
        <v>361</v>
      </c>
      <c r="E45" s="335" t="s">
        <v>961</v>
      </c>
      <c r="F45" s="343" t="s">
        <v>1037</v>
      </c>
      <c r="G45" s="335" t="s">
        <v>319</v>
      </c>
      <c r="H45" s="335"/>
      <c r="I45" s="335" t="s">
        <v>370</v>
      </c>
      <c r="J45" s="335" t="s">
        <v>366</v>
      </c>
      <c r="K45" s="335" t="s">
        <v>496</v>
      </c>
      <c r="L45" s="335" t="s">
        <v>376</v>
      </c>
      <c r="M45" s="335"/>
      <c r="N45" s="335"/>
      <c r="O45" s="335" t="s">
        <v>375</v>
      </c>
      <c r="P45" s="335" t="s">
        <v>327</v>
      </c>
      <c r="Q45" s="335" t="s">
        <v>375</v>
      </c>
      <c r="R45" s="335" t="s">
        <v>831</v>
      </c>
      <c r="S45" s="335" t="s">
        <v>327</v>
      </c>
      <c r="T45" s="335" t="s">
        <v>408</v>
      </c>
      <c r="U45" s="335"/>
      <c r="V45" s="335" t="s">
        <v>700</v>
      </c>
      <c r="W45" s="335" t="s">
        <v>700</v>
      </c>
      <c r="X45" s="335" t="s">
        <v>831</v>
      </c>
      <c r="Y45" s="335" t="s">
        <v>491</v>
      </c>
      <c r="Z45" s="335" t="s">
        <v>466</v>
      </c>
      <c r="AA45" s="335"/>
      <c r="AB45" s="335"/>
      <c r="AC45" s="335" t="s">
        <v>961</v>
      </c>
      <c r="AD45" s="335" t="s">
        <v>379</v>
      </c>
      <c r="AE45" s="335" t="s">
        <v>491</v>
      </c>
      <c r="AF45" s="335" t="s">
        <v>851</v>
      </c>
      <c r="AG45" s="337" t="s">
        <v>52</v>
      </c>
      <c r="AH45" s="338">
        <v>24</v>
      </c>
      <c r="AI45" s="338">
        <v>23</v>
      </c>
      <c r="AJ45" s="333">
        <v>1</v>
      </c>
      <c r="AK45" s="333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>
        <v>1</v>
      </c>
      <c r="AV45" s="339">
        <v>24</v>
      </c>
      <c r="AW45" s="339"/>
      <c r="AX45" s="333"/>
      <c r="AY45" s="340" t="s">
        <v>1038</v>
      </c>
      <c r="AZ45" s="337">
        <v>0</v>
      </c>
      <c r="BA45" s="291"/>
      <c r="BB45" s="291"/>
      <c r="BC45" s="291"/>
      <c r="BD45" s="291"/>
    </row>
    <row r="46" s="321" customFormat="1" ht="70" customHeight="1" spans="1:56">
      <c r="A46" s="333" t="s">
        <v>179</v>
      </c>
      <c r="B46" s="333" t="s">
        <v>907</v>
      </c>
      <c r="C46" s="334" t="s">
        <v>1039</v>
      </c>
      <c r="D46" s="335" t="s">
        <v>1040</v>
      </c>
      <c r="E46" s="335" t="s">
        <v>1041</v>
      </c>
      <c r="F46" s="335" t="s">
        <v>1042</v>
      </c>
      <c r="G46" s="335" t="s">
        <v>319</v>
      </c>
      <c r="H46" s="335"/>
      <c r="I46" s="335" t="s">
        <v>386</v>
      </c>
      <c r="J46" s="335" t="s">
        <v>1043</v>
      </c>
      <c r="K46" s="335" t="s">
        <v>1044</v>
      </c>
      <c r="L46" s="335" t="s">
        <v>1045</v>
      </c>
      <c r="M46" s="335"/>
      <c r="N46" s="335"/>
      <c r="O46" s="335" t="s">
        <v>1045</v>
      </c>
      <c r="P46" s="335" t="s">
        <v>1046</v>
      </c>
      <c r="Q46" s="335" t="s">
        <v>1047</v>
      </c>
      <c r="R46" s="335" t="s">
        <v>669</v>
      </c>
      <c r="S46" s="335" t="s">
        <v>391</v>
      </c>
      <c r="T46" s="335" t="s">
        <v>1048</v>
      </c>
      <c r="U46" s="335"/>
      <c r="V46" s="335" t="s">
        <v>1049</v>
      </c>
      <c r="W46" s="335" t="s">
        <v>1050</v>
      </c>
      <c r="X46" s="335" t="s">
        <v>1050</v>
      </c>
      <c r="Y46" s="335" t="s">
        <v>669</v>
      </c>
      <c r="Z46" s="335" t="s">
        <v>530</v>
      </c>
      <c r="AA46" s="335"/>
      <c r="AB46" s="335"/>
      <c r="AC46" s="335" t="s">
        <v>1051</v>
      </c>
      <c r="AD46" s="335" t="s">
        <v>1046</v>
      </c>
      <c r="AE46" s="335" t="s">
        <v>1052</v>
      </c>
      <c r="AF46" s="335" t="s">
        <v>1053</v>
      </c>
      <c r="AG46" s="337" t="s">
        <v>179</v>
      </c>
      <c r="AH46" s="338">
        <v>24</v>
      </c>
      <c r="AI46" s="338">
        <v>23</v>
      </c>
      <c r="AJ46" s="333"/>
      <c r="AK46" s="333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>
        <v>1</v>
      </c>
      <c r="AV46" s="339">
        <v>24</v>
      </c>
      <c r="AW46" s="339"/>
      <c r="AX46" s="333">
        <v>200</v>
      </c>
      <c r="AY46" s="340" t="s">
        <v>256</v>
      </c>
      <c r="AZ46" s="337">
        <v>0</v>
      </c>
      <c r="BA46" s="291"/>
      <c r="BB46" s="291"/>
      <c r="BC46" s="291"/>
      <c r="BD46" s="291"/>
    </row>
    <row r="47" s="321" customFormat="1" ht="70" customHeight="1" spans="1:56">
      <c r="A47" s="333" t="s">
        <v>54</v>
      </c>
      <c r="B47" s="333" t="s">
        <v>46</v>
      </c>
      <c r="C47" s="334" t="s">
        <v>1005</v>
      </c>
      <c r="D47" s="335" t="s">
        <v>1054</v>
      </c>
      <c r="E47" s="335" t="s">
        <v>1001</v>
      </c>
      <c r="F47" s="335" t="s">
        <v>1055</v>
      </c>
      <c r="G47" s="335" t="s">
        <v>319</v>
      </c>
      <c r="H47" s="335"/>
      <c r="I47" s="335" t="s">
        <v>391</v>
      </c>
      <c r="J47" s="335" t="s">
        <v>1056</v>
      </c>
      <c r="K47" s="335" t="s">
        <v>1005</v>
      </c>
      <c r="L47" s="335" t="s">
        <v>1054</v>
      </c>
      <c r="M47" s="335"/>
      <c r="N47" s="335"/>
      <c r="O47" s="335" t="s">
        <v>1053</v>
      </c>
      <c r="P47" s="335" t="s">
        <v>1054</v>
      </c>
      <c r="Q47" s="335" t="s">
        <v>1039</v>
      </c>
      <c r="R47" s="335" t="s">
        <v>384</v>
      </c>
      <c r="S47" s="335" t="s">
        <v>528</v>
      </c>
      <c r="T47" s="335" t="s">
        <v>1055</v>
      </c>
      <c r="U47" s="335"/>
      <c r="V47" s="335" t="s">
        <v>784</v>
      </c>
      <c r="W47" s="335" t="s">
        <v>977</v>
      </c>
      <c r="X47" s="335" t="s">
        <v>384</v>
      </c>
      <c r="Y47" s="335" t="s">
        <v>391</v>
      </c>
      <c r="Z47" s="335" t="s">
        <v>1055</v>
      </c>
      <c r="AA47" s="335"/>
      <c r="AB47" s="335"/>
      <c r="AC47" s="335" t="s">
        <v>390</v>
      </c>
      <c r="AD47" s="335" t="s">
        <v>1040</v>
      </c>
      <c r="AE47" s="335" t="s">
        <v>1057</v>
      </c>
      <c r="AF47" s="335" t="s">
        <v>390</v>
      </c>
      <c r="AG47" s="337" t="s">
        <v>54</v>
      </c>
      <c r="AH47" s="338">
        <v>24</v>
      </c>
      <c r="AI47" s="338">
        <v>23</v>
      </c>
      <c r="AJ47" s="333"/>
      <c r="AK47" s="333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>
        <v>1</v>
      </c>
      <c r="AV47" s="339">
        <v>24</v>
      </c>
      <c r="AW47" s="339"/>
      <c r="AX47" s="333">
        <v>200</v>
      </c>
      <c r="AY47" s="340" t="s">
        <v>256</v>
      </c>
      <c r="AZ47" s="337">
        <v>0</v>
      </c>
      <c r="BA47" s="291"/>
      <c r="BB47" s="291"/>
      <c r="BC47" s="291"/>
      <c r="BD47" s="291"/>
    </row>
    <row r="48" s="321" customFormat="1" ht="70" customHeight="1" spans="1:56">
      <c r="A48" s="333" t="s">
        <v>71</v>
      </c>
      <c r="B48" s="333" t="s">
        <v>69</v>
      </c>
      <c r="C48" s="334" t="s">
        <v>1058</v>
      </c>
      <c r="D48" s="335" t="s">
        <v>817</v>
      </c>
      <c r="E48" s="335" t="s">
        <v>781</v>
      </c>
      <c r="F48" s="335" t="s">
        <v>1059</v>
      </c>
      <c r="G48" s="335" t="s">
        <v>319</v>
      </c>
      <c r="H48" s="335"/>
      <c r="I48" s="336" t="s">
        <v>1060</v>
      </c>
      <c r="J48" s="335" t="s">
        <v>1061</v>
      </c>
      <c r="K48" s="335" t="s">
        <v>1062</v>
      </c>
      <c r="L48" s="335" t="s">
        <v>1063</v>
      </c>
      <c r="M48" s="335"/>
      <c r="N48" s="335"/>
      <c r="O48" s="335" t="s">
        <v>1064</v>
      </c>
      <c r="P48" s="335" t="s">
        <v>1065</v>
      </c>
      <c r="Q48" s="335" t="s">
        <v>1066</v>
      </c>
      <c r="R48" s="336" t="s">
        <v>388</v>
      </c>
      <c r="S48" s="335" t="s">
        <v>975</v>
      </c>
      <c r="T48" s="335" t="s">
        <v>1067</v>
      </c>
      <c r="U48" s="335"/>
      <c r="V48" s="335" t="s">
        <v>1068</v>
      </c>
      <c r="W48" s="335" t="s">
        <v>1069</v>
      </c>
      <c r="X48" s="335" t="s">
        <v>746</v>
      </c>
      <c r="Y48" s="335" t="s">
        <v>900</v>
      </c>
      <c r="Z48" s="335" t="s">
        <v>1015</v>
      </c>
      <c r="AA48" s="335"/>
      <c r="AB48" s="335"/>
      <c r="AC48" s="335" t="s">
        <v>1070</v>
      </c>
      <c r="AD48" s="335" t="s">
        <v>1071</v>
      </c>
      <c r="AE48" s="335" t="s">
        <v>1072</v>
      </c>
      <c r="AF48" s="335" t="s">
        <v>1073</v>
      </c>
      <c r="AG48" s="337" t="s">
        <v>71</v>
      </c>
      <c r="AH48" s="338">
        <v>24</v>
      </c>
      <c r="AI48" s="338">
        <v>21.56</v>
      </c>
      <c r="AJ48" s="333"/>
      <c r="AK48" s="333"/>
      <c r="AL48" s="339"/>
      <c r="AM48" s="339">
        <v>1.44</v>
      </c>
      <c r="AN48" s="339"/>
      <c r="AO48" s="339"/>
      <c r="AP48" s="339"/>
      <c r="AQ48" s="339"/>
      <c r="AR48" s="339"/>
      <c r="AS48" s="339"/>
      <c r="AT48" s="339"/>
      <c r="AU48" s="339">
        <v>1</v>
      </c>
      <c r="AV48" s="339">
        <v>22.56</v>
      </c>
      <c r="AW48" s="339"/>
      <c r="AX48" s="333"/>
      <c r="AY48" s="340" t="s">
        <v>1074</v>
      </c>
      <c r="AZ48" s="337">
        <v>5.5</v>
      </c>
      <c r="BA48" s="291"/>
      <c r="BB48" s="291"/>
      <c r="BC48" s="291"/>
      <c r="BD48" s="291"/>
    </row>
    <row r="49" s="321" customFormat="1" ht="70" customHeight="1" spans="1:56">
      <c r="A49" s="333" t="s">
        <v>73</v>
      </c>
      <c r="B49" s="333" t="s">
        <v>69</v>
      </c>
      <c r="C49" s="334" t="s">
        <v>1075</v>
      </c>
      <c r="D49" s="335" t="s">
        <v>1076</v>
      </c>
      <c r="E49" s="335" t="s">
        <v>1076</v>
      </c>
      <c r="F49" s="335" t="s">
        <v>1077</v>
      </c>
      <c r="G49" s="335" t="s">
        <v>319</v>
      </c>
      <c r="H49" s="335"/>
      <c r="I49" s="335" t="s">
        <v>627</v>
      </c>
      <c r="J49" s="335" t="s">
        <v>1078</v>
      </c>
      <c r="K49" s="335" t="s">
        <v>1079</v>
      </c>
      <c r="L49" s="335" t="s">
        <v>397</v>
      </c>
      <c r="M49" s="335"/>
      <c r="N49" s="335"/>
      <c r="O49" s="335" t="s">
        <v>1068</v>
      </c>
      <c r="P49" s="335" t="s">
        <v>1080</v>
      </c>
      <c r="Q49" s="335" t="s">
        <v>1081</v>
      </c>
      <c r="R49" s="335" t="s">
        <v>1082</v>
      </c>
      <c r="S49" s="335" t="s">
        <v>567</v>
      </c>
      <c r="T49" s="335" t="s">
        <v>834</v>
      </c>
      <c r="U49" s="335"/>
      <c r="V49" s="335" t="s">
        <v>1083</v>
      </c>
      <c r="W49" s="335" t="s">
        <v>1084</v>
      </c>
      <c r="X49" s="335" t="s">
        <v>919</v>
      </c>
      <c r="Y49" s="335" t="s">
        <v>1085</v>
      </c>
      <c r="Z49" s="335" t="s">
        <v>1086</v>
      </c>
      <c r="AA49" s="335"/>
      <c r="AB49" s="335"/>
      <c r="AC49" s="335" t="s">
        <v>1087</v>
      </c>
      <c r="AD49" s="335" t="s">
        <v>1088</v>
      </c>
      <c r="AE49" s="335" t="s">
        <v>1089</v>
      </c>
      <c r="AF49" s="335" t="s">
        <v>896</v>
      </c>
      <c r="AG49" s="337" t="s">
        <v>73</v>
      </c>
      <c r="AH49" s="338">
        <v>24</v>
      </c>
      <c r="AI49" s="338">
        <v>23</v>
      </c>
      <c r="AJ49" s="333"/>
      <c r="AK49" s="333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>
        <v>1</v>
      </c>
      <c r="AV49" s="339">
        <v>24</v>
      </c>
      <c r="AW49" s="339"/>
      <c r="AX49" s="333">
        <v>200</v>
      </c>
      <c r="AY49" s="340" t="s">
        <v>256</v>
      </c>
      <c r="AZ49" s="337">
        <v>5.5</v>
      </c>
      <c r="BA49" s="291"/>
      <c r="BB49" s="291"/>
      <c r="BC49" s="291"/>
      <c r="BD49" s="291"/>
    </row>
    <row r="50" s="321" customFormat="1" ht="70" customHeight="1" spans="1:56">
      <c r="A50" s="333" t="s">
        <v>34</v>
      </c>
      <c r="B50" s="333" t="s">
        <v>28</v>
      </c>
      <c r="C50" s="334" t="s">
        <v>1090</v>
      </c>
      <c r="D50" s="335" t="s">
        <v>1091</v>
      </c>
      <c r="E50" s="335" t="s">
        <v>341</v>
      </c>
      <c r="F50" s="335" t="s">
        <v>1092</v>
      </c>
      <c r="G50" s="335" t="s">
        <v>319</v>
      </c>
      <c r="H50" s="335"/>
      <c r="I50" s="335" t="s">
        <v>1093</v>
      </c>
      <c r="J50" s="335" t="s">
        <v>1094</v>
      </c>
      <c r="K50" s="335" t="s">
        <v>1095</v>
      </c>
      <c r="L50" s="335" t="s">
        <v>418</v>
      </c>
      <c r="M50" s="335"/>
      <c r="N50" s="335"/>
      <c r="O50" s="335" t="s">
        <v>647</v>
      </c>
      <c r="P50" s="335" t="s">
        <v>1096</v>
      </c>
      <c r="Q50" s="335" t="s">
        <v>1097</v>
      </c>
      <c r="R50" s="335" t="s">
        <v>863</v>
      </c>
      <c r="S50" s="335" t="s">
        <v>880</v>
      </c>
      <c r="T50" s="335" t="s">
        <v>1098</v>
      </c>
      <c r="U50" s="335"/>
      <c r="V50" s="335" t="s">
        <v>965</v>
      </c>
      <c r="W50" s="335" t="s">
        <v>1099</v>
      </c>
      <c r="X50" s="335" t="s">
        <v>1100</v>
      </c>
      <c r="Y50" s="335" t="s">
        <v>1101</v>
      </c>
      <c r="Z50" s="335" t="s">
        <v>1102</v>
      </c>
      <c r="AA50" s="335"/>
      <c r="AB50" s="335"/>
      <c r="AC50" s="335" t="s">
        <v>1103</v>
      </c>
      <c r="AD50" s="335" t="s">
        <v>418</v>
      </c>
      <c r="AE50" s="335" t="s">
        <v>878</v>
      </c>
      <c r="AF50" s="335" t="s">
        <v>862</v>
      </c>
      <c r="AG50" s="337" t="s">
        <v>34</v>
      </c>
      <c r="AH50" s="338">
        <v>24</v>
      </c>
      <c r="AI50" s="338">
        <v>23</v>
      </c>
      <c r="AJ50" s="333"/>
      <c r="AK50" s="333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>
        <v>1</v>
      </c>
      <c r="AV50" s="339">
        <v>24</v>
      </c>
      <c r="AW50" s="339"/>
      <c r="AX50" s="333">
        <v>200</v>
      </c>
      <c r="AY50" s="340" t="s">
        <v>256</v>
      </c>
      <c r="AZ50" s="337">
        <v>5</v>
      </c>
      <c r="BA50" s="291"/>
      <c r="BB50" s="291"/>
      <c r="BC50" s="291"/>
      <c r="BD50" s="291"/>
    </row>
    <row r="51" s="321" customFormat="1" ht="70" customHeight="1" spans="1:56">
      <c r="A51" s="333" t="s">
        <v>181</v>
      </c>
      <c r="B51" s="333" t="s">
        <v>907</v>
      </c>
      <c r="C51" s="334" t="s">
        <v>915</v>
      </c>
      <c r="D51" s="335" t="s">
        <v>1104</v>
      </c>
      <c r="E51" s="335" t="s">
        <v>878</v>
      </c>
      <c r="F51" s="335" t="s">
        <v>475</v>
      </c>
      <c r="G51" s="335" t="s">
        <v>319</v>
      </c>
      <c r="H51" s="335"/>
      <c r="I51" s="335" t="s">
        <v>438</v>
      </c>
      <c r="J51" s="335" t="s">
        <v>574</v>
      </c>
      <c r="K51" s="335" t="s">
        <v>574</v>
      </c>
      <c r="L51" s="335" t="s">
        <v>1003</v>
      </c>
      <c r="M51" s="335"/>
      <c r="N51" s="335"/>
      <c r="O51" s="335" t="s">
        <v>979</v>
      </c>
      <c r="P51" s="335" t="s">
        <v>1001</v>
      </c>
      <c r="Q51" s="335" t="s">
        <v>1105</v>
      </c>
      <c r="R51" s="335" t="s">
        <v>523</v>
      </c>
      <c r="S51" s="335" t="s">
        <v>532</v>
      </c>
      <c r="T51" s="335" t="s">
        <v>1001</v>
      </c>
      <c r="U51" s="335"/>
      <c r="V51" s="335" t="s">
        <v>1007</v>
      </c>
      <c r="W51" s="335" t="s">
        <v>978</v>
      </c>
      <c r="X51" s="335" t="s">
        <v>805</v>
      </c>
      <c r="Y51" s="335" t="s">
        <v>952</v>
      </c>
      <c r="Z51" s="335" t="s">
        <v>644</v>
      </c>
      <c r="AA51" s="335"/>
      <c r="AB51" s="335"/>
      <c r="AC51" s="335" t="s">
        <v>465</v>
      </c>
      <c r="AD51" s="335" t="s">
        <v>463</v>
      </c>
      <c r="AE51" s="335" t="s">
        <v>1105</v>
      </c>
      <c r="AF51" s="335" t="s">
        <v>1106</v>
      </c>
      <c r="AG51" s="337" t="s">
        <v>181</v>
      </c>
      <c r="AH51" s="338">
        <v>24</v>
      </c>
      <c r="AI51" s="338">
        <v>23</v>
      </c>
      <c r="AJ51" s="333"/>
      <c r="AK51" s="333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>
        <v>1</v>
      </c>
      <c r="AV51" s="339">
        <v>24</v>
      </c>
      <c r="AW51" s="339"/>
      <c r="AX51" s="333">
        <v>200</v>
      </c>
      <c r="AY51" s="340" t="s">
        <v>256</v>
      </c>
      <c r="AZ51" s="337">
        <v>0</v>
      </c>
      <c r="BA51" s="291"/>
      <c r="BB51" s="291"/>
      <c r="BC51" s="291"/>
      <c r="BD51" s="291"/>
    </row>
    <row r="52" s="321" customFormat="1" ht="70" customHeight="1" spans="1:56">
      <c r="A52" s="333" t="s">
        <v>138</v>
      </c>
      <c r="B52" s="333" t="s">
        <v>662</v>
      </c>
      <c r="C52" s="334" t="s">
        <v>1107</v>
      </c>
      <c r="D52" s="335" t="s">
        <v>821</v>
      </c>
      <c r="E52" s="335" t="s">
        <v>1108</v>
      </c>
      <c r="F52" s="335" t="s">
        <v>1109</v>
      </c>
      <c r="G52" s="335" t="s">
        <v>319</v>
      </c>
      <c r="H52" s="335"/>
      <c r="I52" s="335" t="s">
        <v>1110</v>
      </c>
      <c r="J52" s="335" t="s">
        <v>1111</v>
      </c>
      <c r="K52" s="335" t="s">
        <v>1015</v>
      </c>
      <c r="L52" s="335" t="s">
        <v>1112</v>
      </c>
      <c r="M52" s="335"/>
      <c r="N52" s="335"/>
      <c r="O52" s="335" t="s">
        <v>811</v>
      </c>
      <c r="P52" s="335" t="s">
        <v>1113</v>
      </c>
      <c r="Q52" s="335" t="s">
        <v>1114</v>
      </c>
      <c r="R52" s="335" t="s">
        <v>818</v>
      </c>
      <c r="S52" s="335" t="s">
        <v>1067</v>
      </c>
      <c r="T52" s="335" t="s">
        <v>1040</v>
      </c>
      <c r="U52" s="335"/>
      <c r="V52" s="335" t="s">
        <v>1115</v>
      </c>
      <c r="W52" s="335" t="s">
        <v>1116</v>
      </c>
      <c r="X52" s="335" t="s">
        <v>1117</v>
      </c>
      <c r="Y52" s="335" t="s">
        <v>1118</v>
      </c>
      <c r="Z52" s="335" t="s">
        <v>993</v>
      </c>
      <c r="AA52" s="335"/>
      <c r="AB52" s="335"/>
      <c r="AC52" s="335" t="s">
        <v>1119</v>
      </c>
      <c r="AD52" s="335" t="s">
        <v>1120</v>
      </c>
      <c r="AE52" s="335" t="s">
        <v>1121</v>
      </c>
      <c r="AF52" s="335" t="s">
        <v>1056</v>
      </c>
      <c r="AG52" s="337" t="s">
        <v>138</v>
      </c>
      <c r="AH52" s="338">
        <v>24</v>
      </c>
      <c r="AI52" s="338">
        <v>23</v>
      </c>
      <c r="AJ52" s="333"/>
      <c r="AK52" s="333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>
        <v>1</v>
      </c>
      <c r="AV52" s="339">
        <v>24</v>
      </c>
      <c r="AW52" s="339"/>
      <c r="AX52" s="333">
        <v>200</v>
      </c>
      <c r="AY52" s="340" t="s">
        <v>256</v>
      </c>
      <c r="AZ52" s="337">
        <v>0</v>
      </c>
      <c r="BA52" s="291"/>
      <c r="BB52" s="291"/>
      <c r="BC52" s="291"/>
      <c r="BD52" s="291"/>
    </row>
    <row r="53" s="321" customFormat="1" ht="70" customHeight="1" spans="1:56">
      <c r="A53" s="333" t="s">
        <v>61</v>
      </c>
      <c r="B53" s="333" t="s">
        <v>57</v>
      </c>
      <c r="C53" s="334" t="s">
        <v>393</v>
      </c>
      <c r="D53" s="335" t="s">
        <v>393</v>
      </c>
      <c r="E53" s="335" t="s">
        <v>393</v>
      </c>
      <c r="F53" s="335" t="s">
        <v>393</v>
      </c>
      <c r="G53" s="335" t="s">
        <v>393</v>
      </c>
      <c r="H53" s="335" t="s">
        <v>393</v>
      </c>
      <c r="I53" s="335" t="s">
        <v>393</v>
      </c>
      <c r="J53" s="335" t="s">
        <v>393</v>
      </c>
      <c r="K53" s="335" t="s">
        <v>393</v>
      </c>
      <c r="L53" s="335" t="s">
        <v>393</v>
      </c>
      <c r="M53" s="335" t="s">
        <v>393</v>
      </c>
      <c r="N53" s="335" t="s">
        <v>393</v>
      </c>
      <c r="O53" s="336" t="s">
        <v>1122</v>
      </c>
      <c r="P53" s="335" t="s">
        <v>1123</v>
      </c>
      <c r="Q53" s="335" t="s">
        <v>917</v>
      </c>
      <c r="R53" s="335" t="s">
        <v>1124</v>
      </c>
      <c r="S53" s="335" t="s">
        <v>1125</v>
      </c>
      <c r="T53" s="335" t="s">
        <v>1126</v>
      </c>
      <c r="U53" s="335"/>
      <c r="V53" s="335" t="s">
        <v>870</v>
      </c>
      <c r="W53" s="335" t="s">
        <v>1116</v>
      </c>
      <c r="X53" s="335" t="s">
        <v>1127</v>
      </c>
      <c r="Y53" s="335" t="s">
        <v>1128</v>
      </c>
      <c r="Z53" s="335" t="s">
        <v>745</v>
      </c>
      <c r="AA53" s="335"/>
      <c r="AB53" s="335"/>
      <c r="AC53" s="335" t="s">
        <v>990</v>
      </c>
      <c r="AD53" s="335" t="s">
        <v>1129</v>
      </c>
      <c r="AE53" s="335" t="s">
        <v>1130</v>
      </c>
      <c r="AF53" s="335" t="s">
        <v>677</v>
      </c>
      <c r="AG53" s="347" t="s">
        <v>61</v>
      </c>
      <c r="AH53" s="338">
        <v>24</v>
      </c>
      <c r="AI53" s="338">
        <v>15</v>
      </c>
      <c r="AJ53" s="333"/>
      <c r="AK53" s="333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>
        <v>15</v>
      </c>
      <c r="AW53" s="339"/>
      <c r="AX53" s="333"/>
      <c r="AY53" s="340" t="s">
        <v>1131</v>
      </c>
      <c r="AZ53" s="337">
        <v>0</v>
      </c>
      <c r="BA53" s="291"/>
      <c r="BB53" s="291"/>
      <c r="BC53" s="291"/>
      <c r="BD53" s="291"/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B1048574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P7" sqref="P7"/>
    </sheetView>
  </sheetViews>
  <sheetFormatPr defaultColWidth="9" defaultRowHeight="14.25"/>
  <cols>
    <col min="1" max="2" width="10" style="275" customWidth="1"/>
    <col min="3" max="32" width="9" style="275" customWidth="1"/>
    <col min="33" max="33" width="10" style="275" customWidth="1"/>
    <col min="34" max="50" width="9.75" style="275" customWidth="1"/>
    <col min="51" max="51" width="40.8916666666667" style="295" customWidth="1"/>
    <col min="52" max="52" width="18.2333333333333" style="275" customWidth="1"/>
    <col min="53" max="54" width="9" style="275"/>
    <col min="55" max="16384" width="9" style="318"/>
  </cols>
  <sheetData>
    <row r="1" s="273" customFormat="1" ht="40" customHeight="1" spans="1:54">
      <c r="A1" s="280" t="s">
        <v>1</v>
      </c>
      <c r="B1" s="280" t="s">
        <v>4</v>
      </c>
      <c r="C1" s="280" t="s">
        <v>283</v>
      </c>
      <c r="D1" s="280" t="s">
        <v>284</v>
      </c>
      <c r="E1" s="280" t="s">
        <v>285</v>
      </c>
      <c r="F1" s="280" t="s">
        <v>286</v>
      </c>
      <c r="G1" s="280" t="s">
        <v>287</v>
      </c>
      <c r="H1" s="280" t="s">
        <v>288</v>
      </c>
      <c r="I1" s="280" t="s">
        <v>289</v>
      </c>
      <c r="J1" s="280" t="s">
        <v>290</v>
      </c>
      <c r="K1" s="280" t="s">
        <v>291</v>
      </c>
      <c r="L1" s="280" t="s">
        <v>292</v>
      </c>
      <c r="M1" s="280" t="s">
        <v>293</v>
      </c>
      <c r="N1" s="280" t="s">
        <v>294</v>
      </c>
      <c r="O1" s="280" t="s">
        <v>295</v>
      </c>
      <c r="P1" s="280" t="s">
        <v>296</v>
      </c>
      <c r="Q1" s="280" t="s">
        <v>297</v>
      </c>
      <c r="R1" s="280" t="s">
        <v>298</v>
      </c>
      <c r="S1" s="280" t="s">
        <v>299</v>
      </c>
      <c r="T1" s="280" t="s">
        <v>300</v>
      </c>
      <c r="U1" s="280" t="s">
        <v>301</v>
      </c>
      <c r="V1" s="280" t="s">
        <v>302</v>
      </c>
      <c r="W1" s="280" t="s">
        <v>303</v>
      </c>
      <c r="X1" s="280" t="s">
        <v>304</v>
      </c>
      <c r="Y1" s="280" t="s">
        <v>305</v>
      </c>
      <c r="Z1" s="280" t="s">
        <v>306</v>
      </c>
      <c r="AA1" s="280" t="s">
        <v>307</v>
      </c>
      <c r="AB1" s="280" t="s">
        <v>308</v>
      </c>
      <c r="AC1" s="280" t="s">
        <v>309</v>
      </c>
      <c r="AD1" s="280" t="s">
        <v>310</v>
      </c>
      <c r="AE1" s="280" t="s">
        <v>311</v>
      </c>
      <c r="AF1" s="280" t="s">
        <v>312</v>
      </c>
      <c r="AG1" s="281" t="s">
        <v>1</v>
      </c>
      <c r="AH1" s="282" t="s">
        <v>6</v>
      </c>
      <c r="AI1" s="282" t="s">
        <v>7</v>
      </c>
      <c r="AJ1" s="281" t="s">
        <v>8</v>
      </c>
      <c r="AK1" s="281" t="s">
        <v>9</v>
      </c>
      <c r="AL1" s="281" t="s">
        <v>10</v>
      </c>
      <c r="AM1" s="281" t="s">
        <v>11</v>
      </c>
      <c r="AN1" s="281" t="s">
        <v>12</v>
      </c>
      <c r="AO1" s="281" t="s">
        <v>13</v>
      </c>
      <c r="AP1" s="281" t="s">
        <v>14</v>
      </c>
      <c r="AQ1" s="281" t="s">
        <v>15</v>
      </c>
      <c r="AR1" s="281" t="s">
        <v>16</v>
      </c>
      <c r="AS1" s="281" t="s">
        <v>313</v>
      </c>
      <c r="AT1" s="281" t="s">
        <v>18</v>
      </c>
      <c r="AU1" s="282" t="s">
        <v>19</v>
      </c>
      <c r="AV1" s="283" t="s">
        <v>20</v>
      </c>
      <c r="AW1" s="282" t="s">
        <v>21</v>
      </c>
      <c r="AX1" s="282" t="s">
        <v>24</v>
      </c>
      <c r="AY1" s="282" t="s">
        <v>23</v>
      </c>
      <c r="AZ1" s="284" t="s">
        <v>279</v>
      </c>
    </row>
    <row r="2" s="273" customFormat="1" ht="69" customHeight="1" spans="1:54">
      <c r="A2" s="51" t="s">
        <v>173</v>
      </c>
      <c r="B2" s="51" t="s">
        <v>1132</v>
      </c>
      <c r="C2" s="296" t="s">
        <v>1133</v>
      </c>
      <c r="D2" s="296" t="s">
        <v>1134</v>
      </c>
      <c r="E2" s="296" t="s">
        <v>1135</v>
      </c>
      <c r="F2" s="296" t="s">
        <v>1136</v>
      </c>
      <c r="G2" s="296" t="s">
        <v>319</v>
      </c>
      <c r="H2" s="296"/>
      <c r="I2" s="296" t="s">
        <v>1137</v>
      </c>
      <c r="J2" s="296" t="s">
        <v>1138</v>
      </c>
      <c r="K2" s="296" t="s">
        <v>1139</v>
      </c>
      <c r="L2" s="296" t="s">
        <v>1140</v>
      </c>
      <c r="M2" s="296" t="s">
        <v>1141</v>
      </c>
      <c r="N2" s="296"/>
      <c r="O2" s="303" t="s">
        <v>1142</v>
      </c>
      <c r="P2" s="296" t="s">
        <v>1143</v>
      </c>
      <c r="Q2" s="296" t="s">
        <v>1144</v>
      </c>
      <c r="R2" s="296" t="s">
        <v>1145</v>
      </c>
      <c r="S2" s="296" t="s">
        <v>1146</v>
      </c>
      <c r="T2" s="296" t="s">
        <v>1147</v>
      </c>
      <c r="U2" s="296"/>
      <c r="V2" s="296" t="s">
        <v>1148</v>
      </c>
      <c r="W2" s="296" t="s">
        <v>1149</v>
      </c>
      <c r="X2" s="296" t="s">
        <v>1150</v>
      </c>
      <c r="Y2" s="296" t="s">
        <v>1151</v>
      </c>
      <c r="Z2" s="296" t="s">
        <v>1152</v>
      </c>
      <c r="AA2" s="296" t="s">
        <v>1153</v>
      </c>
      <c r="AB2" s="296"/>
      <c r="AC2" s="296" t="s">
        <v>1154</v>
      </c>
      <c r="AD2" s="296" t="s">
        <v>1155</v>
      </c>
      <c r="AE2" s="296" t="s">
        <v>1156</v>
      </c>
      <c r="AF2" s="296" t="s">
        <v>1157</v>
      </c>
      <c r="AG2" s="51" t="s">
        <v>173</v>
      </c>
      <c r="AH2" s="51">
        <v>26</v>
      </c>
      <c r="AI2" s="51">
        <v>24</v>
      </c>
      <c r="AJ2" s="51"/>
      <c r="AK2" s="51"/>
      <c r="AL2" s="51"/>
      <c r="AM2" s="297"/>
      <c r="AN2" s="297">
        <v>1</v>
      </c>
      <c r="AO2" s="297"/>
      <c r="AP2" s="297"/>
      <c r="AQ2" s="297"/>
      <c r="AR2" s="297"/>
      <c r="AS2" s="297"/>
      <c r="AT2" s="297"/>
      <c r="AU2" s="297">
        <v>1</v>
      </c>
      <c r="AV2" s="297">
        <v>26</v>
      </c>
      <c r="AW2" s="297"/>
      <c r="AX2" s="297">
        <v>200</v>
      </c>
      <c r="AY2" s="305" t="s">
        <v>1158</v>
      </c>
      <c r="AZ2" s="298"/>
      <c r="BA2" s="291"/>
      <c r="BB2" s="291"/>
    </row>
    <row r="3" s="273" customFormat="1" ht="69" customHeight="1" spans="1:54">
      <c r="A3" s="319" t="s">
        <v>169</v>
      </c>
      <c r="B3" s="51" t="s">
        <v>1132</v>
      </c>
      <c r="C3" s="296" t="s">
        <v>1159</v>
      </c>
      <c r="D3" s="296" t="s">
        <v>1160</v>
      </c>
      <c r="E3" s="296" t="s">
        <v>1161</v>
      </c>
      <c r="F3" s="296" t="s">
        <v>1162</v>
      </c>
      <c r="G3" s="296" t="s">
        <v>319</v>
      </c>
      <c r="H3" s="296"/>
      <c r="I3" s="296" t="s">
        <v>1163</v>
      </c>
      <c r="J3" s="296" t="s">
        <v>1164</v>
      </c>
      <c r="K3" s="296" t="s">
        <v>1165</v>
      </c>
      <c r="L3" s="296" t="s">
        <v>1166</v>
      </c>
      <c r="M3" s="296"/>
      <c r="N3" s="296"/>
      <c r="O3" s="296" t="s">
        <v>1167</v>
      </c>
      <c r="P3" s="296" t="s">
        <v>1168</v>
      </c>
      <c r="Q3" s="296" t="s">
        <v>1169</v>
      </c>
      <c r="R3" s="296" t="s">
        <v>1170</v>
      </c>
      <c r="S3" s="296" t="s">
        <v>1171</v>
      </c>
      <c r="T3" s="296" t="s">
        <v>1172</v>
      </c>
      <c r="U3" s="296"/>
      <c r="V3" s="296" t="s">
        <v>1173</v>
      </c>
      <c r="W3" s="296" t="s">
        <v>1174</v>
      </c>
      <c r="X3" s="296" t="s">
        <v>1175</v>
      </c>
      <c r="Y3" s="296" t="s">
        <v>1176</v>
      </c>
      <c r="Z3" s="296" t="s">
        <v>1177</v>
      </c>
      <c r="AA3" s="296"/>
      <c r="AB3" s="296"/>
      <c r="AC3" s="296" t="s">
        <v>1178</v>
      </c>
      <c r="AD3" s="296" t="s">
        <v>1179</v>
      </c>
      <c r="AE3" s="296" t="s">
        <v>1169</v>
      </c>
      <c r="AF3" s="296" t="s">
        <v>1180</v>
      </c>
      <c r="AG3" s="51" t="s">
        <v>169</v>
      </c>
      <c r="AH3" s="51">
        <v>24</v>
      </c>
      <c r="AI3" s="51">
        <v>23</v>
      </c>
      <c r="AJ3" s="51"/>
      <c r="AK3" s="51"/>
      <c r="AL3" s="51"/>
      <c r="AM3" s="297"/>
      <c r="AN3" s="297"/>
      <c r="AO3" s="297"/>
      <c r="AP3" s="297"/>
      <c r="AQ3" s="297"/>
      <c r="AR3" s="297"/>
      <c r="AS3" s="297"/>
      <c r="AT3" s="297"/>
      <c r="AU3" s="297">
        <v>1</v>
      </c>
      <c r="AV3" s="297">
        <v>24</v>
      </c>
      <c r="AW3" s="297"/>
      <c r="AX3" s="297">
        <v>200</v>
      </c>
      <c r="AY3" s="305" t="s">
        <v>256</v>
      </c>
      <c r="AZ3" s="298">
        <v>0</v>
      </c>
      <c r="BA3" s="291"/>
      <c r="BB3" s="291"/>
    </row>
    <row r="4" s="273" customFormat="1" ht="69" customHeight="1" spans="1:54">
      <c r="A4" s="51" t="s">
        <v>185</v>
      </c>
      <c r="B4" s="51" t="s">
        <v>584</v>
      </c>
      <c r="C4" s="296" t="s">
        <v>1181</v>
      </c>
      <c r="D4" s="296" t="s">
        <v>1182</v>
      </c>
      <c r="E4" s="296" t="s">
        <v>1183</v>
      </c>
      <c r="F4" s="296" t="s">
        <v>1181</v>
      </c>
      <c r="G4" s="296" t="s">
        <v>319</v>
      </c>
      <c r="H4" s="296"/>
      <c r="I4" s="296" t="s">
        <v>1184</v>
      </c>
      <c r="J4" s="296" t="s">
        <v>1185</v>
      </c>
      <c r="K4" s="296" t="s">
        <v>1186</v>
      </c>
      <c r="L4" s="296" t="s">
        <v>1187</v>
      </c>
      <c r="M4" s="296" t="s">
        <v>1188</v>
      </c>
      <c r="N4" s="296"/>
      <c r="O4" s="296" t="s">
        <v>1189</v>
      </c>
      <c r="P4" s="296" t="s">
        <v>1190</v>
      </c>
      <c r="Q4" s="296" t="s">
        <v>1191</v>
      </c>
      <c r="R4" s="296" t="s">
        <v>1140</v>
      </c>
      <c r="S4" s="296" t="s">
        <v>1192</v>
      </c>
      <c r="T4" s="296" t="s">
        <v>1193</v>
      </c>
      <c r="U4" s="296"/>
      <c r="V4" s="296" t="s">
        <v>1194</v>
      </c>
      <c r="W4" s="296" t="s">
        <v>1186</v>
      </c>
      <c r="X4" s="296" t="s">
        <v>1195</v>
      </c>
      <c r="Y4" s="296" t="s">
        <v>1196</v>
      </c>
      <c r="Z4" s="296" t="s">
        <v>1197</v>
      </c>
      <c r="AA4" s="296" t="s">
        <v>1198</v>
      </c>
      <c r="AB4" s="296"/>
      <c r="AC4" s="296" t="s">
        <v>1199</v>
      </c>
      <c r="AD4" s="296" t="s">
        <v>1200</v>
      </c>
      <c r="AE4" s="296" t="s">
        <v>1201</v>
      </c>
      <c r="AF4" s="296" t="s">
        <v>1202</v>
      </c>
      <c r="AG4" s="51" t="s">
        <v>185</v>
      </c>
      <c r="AH4" s="51">
        <v>26</v>
      </c>
      <c r="AI4" s="51">
        <v>25</v>
      </c>
      <c r="AJ4" s="51"/>
      <c r="AK4" s="51"/>
      <c r="AL4" s="51"/>
      <c r="AM4" s="297"/>
      <c r="AN4" s="297"/>
      <c r="AO4" s="297"/>
      <c r="AP4" s="297"/>
      <c r="AQ4" s="297"/>
      <c r="AR4" s="297"/>
      <c r="AS4" s="297"/>
      <c r="AU4" s="297">
        <v>1</v>
      </c>
      <c r="AV4" s="297">
        <v>26</v>
      </c>
      <c r="AW4" s="297"/>
      <c r="AX4" s="297">
        <v>200</v>
      </c>
      <c r="AY4" s="305" t="s">
        <v>256</v>
      </c>
      <c r="AZ4" s="298"/>
      <c r="BA4" s="291"/>
      <c r="BB4" s="291"/>
    </row>
    <row r="5" s="273" customFormat="1" ht="69" customHeight="1" spans="1:54">
      <c r="A5" s="51" t="s">
        <v>171</v>
      </c>
      <c r="B5" s="51" t="s">
        <v>1132</v>
      </c>
      <c r="C5" s="296" t="s">
        <v>1203</v>
      </c>
      <c r="D5" s="296" t="s">
        <v>1204</v>
      </c>
      <c r="E5" s="296" t="s">
        <v>1205</v>
      </c>
      <c r="F5" s="296" t="s">
        <v>1206</v>
      </c>
      <c r="G5" s="296" t="s">
        <v>319</v>
      </c>
      <c r="H5" s="296"/>
      <c r="I5" s="296" t="s">
        <v>1207</v>
      </c>
      <c r="J5" s="296" t="s">
        <v>1208</v>
      </c>
      <c r="K5" s="296" t="s">
        <v>1209</v>
      </c>
      <c r="L5" s="296" t="s">
        <v>1210</v>
      </c>
      <c r="M5" s="296" t="s">
        <v>1201</v>
      </c>
      <c r="N5" s="296"/>
      <c r="O5" s="296" t="s">
        <v>1211</v>
      </c>
      <c r="P5" s="296" t="s">
        <v>1187</v>
      </c>
      <c r="Q5" s="296" t="s">
        <v>1203</v>
      </c>
      <c r="R5" s="296" t="s">
        <v>1212</v>
      </c>
      <c r="S5" s="296" t="s">
        <v>1213</v>
      </c>
      <c r="T5" s="296" t="s">
        <v>1214</v>
      </c>
      <c r="U5" s="296"/>
      <c r="V5" s="296" t="s">
        <v>1215</v>
      </c>
      <c r="W5" s="296" t="s">
        <v>1216</v>
      </c>
      <c r="X5" s="296" t="s">
        <v>1217</v>
      </c>
      <c r="Y5" s="296" t="s">
        <v>1218</v>
      </c>
      <c r="Z5" s="296" t="s">
        <v>1219</v>
      </c>
      <c r="AA5" s="296" t="s">
        <v>1220</v>
      </c>
      <c r="AB5" s="296"/>
      <c r="AC5" s="296" t="s">
        <v>1221</v>
      </c>
      <c r="AD5" s="296" t="s">
        <v>1222</v>
      </c>
      <c r="AE5" s="296" t="s">
        <v>1223</v>
      </c>
      <c r="AF5" s="296" t="s">
        <v>1224</v>
      </c>
      <c r="AG5" s="51" t="s">
        <v>171</v>
      </c>
      <c r="AH5" s="51">
        <v>26</v>
      </c>
      <c r="AI5" s="51">
        <v>25</v>
      </c>
      <c r="AJ5" s="51"/>
      <c r="AK5" s="51"/>
      <c r="AL5" s="51"/>
      <c r="AM5" s="297"/>
      <c r="AN5" s="297"/>
      <c r="AO5" s="297"/>
      <c r="AP5" s="297"/>
      <c r="AQ5" s="297"/>
      <c r="AR5" s="297"/>
      <c r="AS5" s="297"/>
      <c r="AT5" s="297"/>
      <c r="AU5" s="297">
        <v>1</v>
      </c>
      <c r="AV5" s="297">
        <v>26</v>
      </c>
      <c r="AW5" s="297"/>
      <c r="AX5" s="297">
        <v>200</v>
      </c>
      <c r="AY5" s="305" t="s">
        <v>256</v>
      </c>
      <c r="AZ5" s="298"/>
      <c r="BA5" s="291"/>
      <c r="BB5" s="291"/>
    </row>
    <row r="6" s="273" customFormat="1" ht="69" customHeight="1" spans="1:54">
      <c r="A6" s="51" t="s">
        <v>183</v>
      </c>
      <c r="B6" s="51" t="s">
        <v>584</v>
      </c>
      <c r="C6" s="296" t="s">
        <v>1225</v>
      </c>
      <c r="D6" s="296" t="s">
        <v>1226</v>
      </c>
      <c r="E6" s="296" t="s">
        <v>1227</v>
      </c>
      <c r="F6" s="296" t="s">
        <v>1228</v>
      </c>
      <c r="G6" s="296" t="s">
        <v>319</v>
      </c>
      <c r="H6" s="296"/>
      <c r="I6" s="296" t="s">
        <v>1229</v>
      </c>
      <c r="J6" s="296" t="s">
        <v>1230</v>
      </c>
      <c r="K6" s="296" t="s">
        <v>1231</v>
      </c>
      <c r="L6" s="296" t="s">
        <v>1232</v>
      </c>
      <c r="M6" s="303" t="s">
        <v>1233</v>
      </c>
      <c r="N6" s="296"/>
      <c r="O6" s="303" t="s">
        <v>1233</v>
      </c>
      <c r="P6" s="303" t="s">
        <v>1233</v>
      </c>
      <c r="Q6" s="303" t="s">
        <v>1233</v>
      </c>
      <c r="R6" s="303" t="s">
        <v>1233</v>
      </c>
      <c r="S6" s="303" t="s">
        <v>1233</v>
      </c>
      <c r="T6" s="296" t="s">
        <v>1234</v>
      </c>
      <c r="U6" s="296"/>
      <c r="V6" s="296" t="s">
        <v>1235</v>
      </c>
      <c r="W6" s="296" t="s">
        <v>1236</v>
      </c>
      <c r="X6" s="296" t="s">
        <v>1237</v>
      </c>
      <c r="Y6" s="296" t="s">
        <v>1238</v>
      </c>
      <c r="Z6" s="296" t="s">
        <v>1239</v>
      </c>
      <c r="AA6" s="296" t="s">
        <v>1240</v>
      </c>
      <c r="AB6" s="296"/>
      <c r="AC6" s="296" t="s">
        <v>1241</v>
      </c>
      <c r="AD6" s="296" t="s">
        <v>1242</v>
      </c>
      <c r="AE6" s="296" t="s">
        <v>1243</v>
      </c>
      <c r="AF6" s="296" t="s">
        <v>1244</v>
      </c>
      <c r="AG6" s="51" t="s">
        <v>183</v>
      </c>
      <c r="AH6" s="51">
        <v>26</v>
      </c>
      <c r="AI6" s="51">
        <v>19</v>
      </c>
      <c r="AJ6" s="51"/>
      <c r="AK6" s="51"/>
      <c r="AL6" s="51"/>
      <c r="AM6" s="297">
        <v>6</v>
      </c>
      <c r="AN6" s="297"/>
      <c r="AO6" s="297"/>
      <c r="AP6" s="297"/>
      <c r="AQ6" s="297"/>
      <c r="AR6" s="297"/>
      <c r="AS6" s="297"/>
      <c r="AT6" s="297"/>
      <c r="AU6" s="297">
        <v>1</v>
      </c>
      <c r="AV6" s="297">
        <v>20</v>
      </c>
      <c r="AW6" s="297"/>
      <c r="AX6" s="297"/>
      <c r="AY6" s="305" t="s">
        <v>1245</v>
      </c>
      <c r="AZ6" s="298"/>
      <c r="BA6" s="291"/>
      <c r="BB6" s="291"/>
    </row>
    <row r="7" s="273" customFormat="1" ht="69" customHeight="1" spans="1:54">
      <c r="A7" s="51" t="s">
        <v>175</v>
      </c>
      <c r="B7" s="51" t="s">
        <v>1132</v>
      </c>
      <c r="C7" s="296" t="s">
        <v>1246</v>
      </c>
      <c r="D7" s="296" t="s">
        <v>1247</v>
      </c>
      <c r="E7" s="296" t="s">
        <v>1248</v>
      </c>
      <c r="F7" s="296" t="s">
        <v>1249</v>
      </c>
      <c r="G7" s="296" t="s">
        <v>319</v>
      </c>
      <c r="H7" s="296"/>
      <c r="I7" s="296" t="s">
        <v>1250</v>
      </c>
      <c r="J7" s="296" t="s">
        <v>1251</v>
      </c>
      <c r="K7" s="296" t="s">
        <v>1252</v>
      </c>
      <c r="L7" s="296" t="s">
        <v>1253</v>
      </c>
      <c r="M7" s="296" t="s">
        <v>1254</v>
      </c>
      <c r="N7" s="296"/>
      <c r="O7" s="303" t="s">
        <v>1142</v>
      </c>
      <c r="P7" s="296" t="s">
        <v>1255</v>
      </c>
      <c r="Q7" s="296" t="s">
        <v>1256</v>
      </c>
      <c r="R7" s="296" t="s">
        <v>1257</v>
      </c>
      <c r="S7" s="296" t="s">
        <v>1258</v>
      </c>
      <c r="T7" s="296" t="s">
        <v>1259</v>
      </c>
      <c r="U7" s="296"/>
      <c r="V7" s="296" t="s">
        <v>1260</v>
      </c>
      <c r="W7" s="296" t="s">
        <v>1261</v>
      </c>
      <c r="X7" s="303" t="s">
        <v>1262</v>
      </c>
      <c r="Y7" s="296" t="s">
        <v>1186</v>
      </c>
      <c r="Z7" s="296" t="s">
        <v>1263</v>
      </c>
      <c r="AA7" s="296" t="s">
        <v>1264</v>
      </c>
      <c r="AB7" s="296"/>
      <c r="AC7" s="296" t="s">
        <v>1265</v>
      </c>
      <c r="AD7" s="296" t="s">
        <v>1266</v>
      </c>
      <c r="AE7" s="296" t="s">
        <v>1267</v>
      </c>
      <c r="AF7" s="296" t="s">
        <v>1268</v>
      </c>
      <c r="AG7" s="51" t="s">
        <v>175</v>
      </c>
      <c r="AH7" s="51">
        <v>26</v>
      </c>
      <c r="AI7" s="51">
        <v>23.57</v>
      </c>
      <c r="AJ7" s="51"/>
      <c r="AK7" s="51"/>
      <c r="AL7" s="51"/>
      <c r="AM7" s="297"/>
      <c r="AN7" s="297">
        <v>1.43</v>
      </c>
      <c r="AO7" s="297"/>
      <c r="AP7" s="297"/>
      <c r="AQ7" s="297"/>
      <c r="AR7" s="297"/>
      <c r="AS7" s="297"/>
      <c r="AT7" s="297"/>
      <c r="AU7" s="297">
        <v>1</v>
      </c>
      <c r="AV7" s="297">
        <v>26</v>
      </c>
      <c r="AW7" s="297"/>
      <c r="AX7" s="297">
        <v>200</v>
      </c>
      <c r="AY7" s="305" t="s">
        <v>1269</v>
      </c>
      <c r="AZ7" s="298"/>
      <c r="BA7" s="291"/>
      <c r="BB7" s="291"/>
    </row>
    <row r="8" s="273" customFormat="1" ht="69" customHeight="1" spans="1:54">
      <c r="A8" s="51" t="s">
        <v>166</v>
      </c>
      <c r="B8" s="51" t="s">
        <v>1132</v>
      </c>
      <c r="C8" s="296" t="s">
        <v>1270</v>
      </c>
      <c r="D8" s="296" t="s">
        <v>1271</v>
      </c>
      <c r="E8" s="296" t="s">
        <v>1161</v>
      </c>
      <c r="F8" s="296" t="s">
        <v>1272</v>
      </c>
      <c r="G8" s="296" t="s">
        <v>319</v>
      </c>
      <c r="H8" s="296"/>
      <c r="I8" s="296" t="s">
        <v>1273</v>
      </c>
      <c r="J8" s="296" t="s">
        <v>1274</v>
      </c>
      <c r="K8" s="296" t="s">
        <v>1165</v>
      </c>
      <c r="L8" s="296" t="s">
        <v>1275</v>
      </c>
      <c r="M8" s="296"/>
      <c r="N8" s="296"/>
      <c r="O8" s="296" t="s">
        <v>1276</v>
      </c>
      <c r="P8" s="296" t="s">
        <v>1168</v>
      </c>
      <c r="Q8" s="296" t="s">
        <v>1277</v>
      </c>
      <c r="R8" s="296" t="s">
        <v>1278</v>
      </c>
      <c r="S8" s="296" t="s">
        <v>1171</v>
      </c>
      <c r="T8" s="296" t="s">
        <v>1279</v>
      </c>
      <c r="U8" s="296"/>
      <c r="V8" s="296" t="s">
        <v>1280</v>
      </c>
      <c r="W8" s="296" t="s">
        <v>1174</v>
      </c>
      <c r="X8" s="296" t="s">
        <v>1281</v>
      </c>
      <c r="Y8" s="296" t="s">
        <v>1282</v>
      </c>
      <c r="Z8" s="296" t="s">
        <v>1283</v>
      </c>
      <c r="AA8" s="296"/>
      <c r="AB8" s="296"/>
      <c r="AC8" s="296" t="s">
        <v>1178</v>
      </c>
      <c r="AD8" s="296" t="s">
        <v>1284</v>
      </c>
      <c r="AE8" s="296" t="s">
        <v>1285</v>
      </c>
      <c r="AF8" s="296" t="s">
        <v>1286</v>
      </c>
      <c r="AG8" s="51" t="s">
        <v>166</v>
      </c>
      <c r="AH8" s="51">
        <v>24</v>
      </c>
      <c r="AI8" s="51">
        <v>23</v>
      </c>
      <c r="AJ8" s="51"/>
      <c r="AK8" s="51"/>
      <c r="AL8" s="51"/>
      <c r="AM8" s="297"/>
      <c r="AN8" s="297"/>
      <c r="AO8" s="297"/>
      <c r="AP8" s="297"/>
      <c r="AQ8" s="297"/>
      <c r="AR8" s="297"/>
      <c r="AS8" s="297"/>
      <c r="AT8" s="297"/>
      <c r="AU8" s="297">
        <v>1</v>
      </c>
      <c r="AV8" s="297">
        <v>24</v>
      </c>
      <c r="AW8" s="297"/>
      <c r="AX8" s="297">
        <v>200</v>
      </c>
      <c r="AY8" s="305" t="s">
        <v>256</v>
      </c>
      <c r="AZ8" s="298">
        <v>0</v>
      </c>
      <c r="BA8" s="291"/>
      <c r="BB8" s="291"/>
    </row>
    <row r="9" s="273" customFormat="1" ht="69" customHeight="1" spans="1:54">
      <c r="A9" s="51" t="s">
        <v>177</v>
      </c>
      <c r="B9" s="51" t="s">
        <v>1132</v>
      </c>
      <c r="C9" s="296" t="s">
        <v>1287</v>
      </c>
      <c r="D9" s="296" t="s">
        <v>1288</v>
      </c>
      <c r="E9" s="296" t="s">
        <v>1289</v>
      </c>
      <c r="F9" s="296" t="s">
        <v>1290</v>
      </c>
      <c r="G9" s="296" t="s">
        <v>319</v>
      </c>
      <c r="H9" s="296"/>
      <c r="I9" s="296" t="s">
        <v>1291</v>
      </c>
      <c r="J9" s="296" t="s">
        <v>1292</v>
      </c>
      <c r="K9" s="296" t="s">
        <v>1293</v>
      </c>
      <c r="L9" s="296" t="s">
        <v>1294</v>
      </c>
      <c r="M9" s="296" t="s">
        <v>1295</v>
      </c>
      <c r="N9" s="296"/>
      <c r="O9" s="296" t="s">
        <v>1296</v>
      </c>
      <c r="P9" s="296" t="s">
        <v>1297</v>
      </c>
      <c r="Q9" s="296" t="s">
        <v>1298</v>
      </c>
      <c r="R9" s="296" t="s">
        <v>1212</v>
      </c>
      <c r="S9" s="296" t="s">
        <v>1198</v>
      </c>
      <c r="T9" s="296" t="s">
        <v>1293</v>
      </c>
      <c r="U9" s="296"/>
      <c r="V9" s="303" t="s">
        <v>1233</v>
      </c>
      <c r="W9" s="296" t="s">
        <v>1299</v>
      </c>
      <c r="X9" s="296" t="s">
        <v>1300</v>
      </c>
      <c r="Y9" s="296" t="s">
        <v>1301</v>
      </c>
      <c r="Z9" s="296" t="s">
        <v>1302</v>
      </c>
      <c r="AA9" s="296" t="s">
        <v>1264</v>
      </c>
      <c r="AB9" s="296"/>
      <c r="AC9" s="296" t="s">
        <v>1303</v>
      </c>
      <c r="AD9" s="296" t="s">
        <v>1304</v>
      </c>
      <c r="AE9" s="296" t="s">
        <v>1305</v>
      </c>
      <c r="AF9" s="296" t="s">
        <v>1306</v>
      </c>
      <c r="AG9" s="51" t="s">
        <v>177</v>
      </c>
      <c r="AH9" s="51">
        <v>26</v>
      </c>
      <c r="AI9" s="51">
        <v>24</v>
      </c>
      <c r="AJ9" s="51"/>
      <c r="AK9" s="51"/>
      <c r="AL9" s="51"/>
      <c r="AM9" s="297">
        <v>1</v>
      </c>
      <c r="AN9" s="297"/>
      <c r="AO9" s="297"/>
      <c r="AP9" s="297"/>
      <c r="AQ9" s="297"/>
      <c r="AR9" s="297"/>
      <c r="AS9" s="297"/>
      <c r="AT9" s="297"/>
      <c r="AU9" s="297">
        <v>1</v>
      </c>
      <c r="AV9" s="297">
        <v>25</v>
      </c>
      <c r="AW9" s="297"/>
      <c r="AX9" s="297"/>
      <c r="AY9" s="305" t="s">
        <v>1307</v>
      </c>
      <c r="AZ9" s="298"/>
      <c r="BA9" s="291"/>
      <c r="BB9" s="291"/>
    </row>
    <row r="10" s="273" customFormat="1" ht="69" customHeight="1" spans="1:54">
      <c r="A10" s="51" t="s">
        <v>187</v>
      </c>
      <c r="B10" s="51" t="s">
        <v>584</v>
      </c>
      <c r="C10" s="296" t="s">
        <v>1308</v>
      </c>
      <c r="D10" s="296" t="s">
        <v>1182</v>
      </c>
      <c r="E10" s="296" t="s">
        <v>1309</v>
      </c>
      <c r="F10" s="296" t="s">
        <v>1310</v>
      </c>
      <c r="G10" s="296" t="s">
        <v>319</v>
      </c>
      <c r="H10" s="296"/>
      <c r="I10" s="296" t="s">
        <v>1311</v>
      </c>
      <c r="J10" s="296" t="s">
        <v>1208</v>
      </c>
      <c r="K10" s="296" t="s">
        <v>1186</v>
      </c>
      <c r="L10" s="296" t="s">
        <v>1187</v>
      </c>
      <c r="M10" s="296" t="s">
        <v>1312</v>
      </c>
      <c r="N10" s="296"/>
      <c r="O10" s="296" t="s">
        <v>1313</v>
      </c>
      <c r="P10" s="296" t="s">
        <v>1297</v>
      </c>
      <c r="Q10" s="296" t="s">
        <v>1191</v>
      </c>
      <c r="R10" s="296" t="s">
        <v>1140</v>
      </c>
      <c r="S10" s="296" t="s">
        <v>1314</v>
      </c>
      <c r="T10" s="296" t="s">
        <v>1315</v>
      </c>
      <c r="U10" s="296"/>
      <c r="V10" s="296" t="s">
        <v>1194</v>
      </c>
      <c r="W10" s="296" t="s">
        <v>1261</v>
      </c>
      <c r="X10" s="296" t="s">
        <v>1316</v>
      </c>
      <c r="Y10" s="296" t="s">
        <v>1317</v>
      </c>
      <c r="Z10" s="296" t="s">
        <v>1318</v>
      </c>
      <c r="AA10" s="296" t="s">
        <v>1319</v>
      </c>
      <c r="AB10" s="296"/>
      <c r="AC10" s="296" t="s">
        <v>1320</v>
      </c>
      <c r="AD10" s="296" t="s">
        <v>1200</v>
      </c>
      <c r="AE10" s="296" t="s">
        <v>1321</v>
      </c>
      <c r="AF10" s="296" t="s">
        <v>1322</v>
      </c>
      <c r="AG10" s="51" t="s">
        <v>187</v>
      </c>
      <c r="AH10" s="51">
        <v>26</v>
      </c>
      <c r="AI10" s="51">
        <v>25</v>
      </c>
      <c r="AJ10" s="51"/>
      <c r="AK10" s="51"/>
      <c r="AL10" s="51"/>
      <c r="AM10" s="297"/>
      <c r="AN10" s="297"/>
      <c r="AO10" s="297"/>
      <c r="AP10" s="297"/>
      <c r="AQ10" s="297"/>
      <c r="AR10" s="297"/>
      <c r="AS10" s="297"/>
      <c r="AT10" s="297"/>
      <c r="AU10" s="297">
        <v>1</v>
      </c>
      <c r="AV10" s="297">
        <v>26</v>
      </c>
      <c r="AW10" s="297"/>
      <c r="AX10" s="297">
        <v>200</v>
      </c>
      <c r="AY10" s="305" t="s">
        <v>256</v>
      </c>
      <c r="AZ10" s="298"/>
      <c r="BA10" s="291"/>
      <c r="BB10" s="291"/>
    </row>
    <row r="11" s="273" customFormat="1" ht="69" customHeight="1" spans="1:54">
      <c r="A11" s="51" t="s">
        <v>189</v>
      </c>
      <c r="B11" s="51" t="s">
        <v>584</v>
      </c>
      <c r="C11" s="296" t="s">
        <v>1323</v>
      </c>
      <c r="D11" s="296" t="s">
        <v>1324</v>
      </c>
      <c r="E11" s="296" t="s">
        <v>1325</v>
      </c>
      <c r="F11" s="296" t="s">
        <v>1326</v>
      </c>
      <c r="G11" s="296" t="s">
        <v>319</v>
      </c>
      <c r="H11" s="296"/>
      <c r="I11" s="317" t="s">
        <v>1327</v>
      </c>
      <c r="J11" s="296" t="s">
        <v>1328</v>
      </c>
      <c r="K11" s="296" t="s">
        <v>1329</v>
      </c>
      <c r="L11" s="296" t="s">
        <v>1330</v>
      </c>
      <c r="M11" s="296" t="s">
        <v>1331</v>
      </c>
      <c r="N11" s="296"/>
      <c r="O11" s="296" t="s">
        <v>1332</v>
      </c>
      <c r="P11" s="296" t="s">
        <v>1333</v>
      </c>
      <c r="Q11" s="317" t="s">
        <v>1334</v>
      </c>
      <c r="R11" s="296" t="s">
        <v>1335</v>
      </c>
      <c r="S11" s="317" t="s">
        <v>1336</v>
      </c>
      <c r="T11" s="296" t="s">
        <v>1337</v>
      </c>
      <c r="U11" s="296"/>
      <c r="V11" s="317" t="s">
        <v>1338</v>
      </c>
      <c r="W11" s="296" t="s">
        <v>1339</v>
      </c>
      <c r="X11" s="296" t="s">
        <v>1340</v>
      </c>
      <c r="Y11" s="296" t="s">
        <v>1153</v>
      </c>
      <c r="Z11" s="317" t="s">
        <v>1341</v>
      </c>
      <c r="AA11" s="296" t="s">
        <v>1342</v>
      </c>
      <c r="AB11" s="296"/>
      <c r="AC11" s="317" t="s">
        <v>1343</v>
      </c>
      <c r="AD11" s="296" t="s">
        <v>1344</v>
      </c>
      <c r="AE11" s="296" t="s">
        <v>1345</v>
      </c>
      <c r="AF11" s="296" t="s">
        <v>1346</v>
      </c>
      <c r="AG11" s="51" t="s">
        <v>189</v>
      </c>
      <c r="AH11" s="51">
        <v>26</v>
      </c>
      <c r="AI11" s="51">
        <v>25</v>
      </c>
      <c r="AJ11" s="51">
        <v>46</v>
      </c>
      <c r="AK11" s="51"/>
      <c r="AL11" s="51"/>
      <c r="AM11" s="297"/>
      <c r="AN11" s="297"/>
      <c r="AO11" s="297"/>
      <c r="AP11" s="297"/>
      <c r="AQ11" s="297"/>
      <c r="AR11" s="297"/>
      <c r="AS11" s="297"/>
      <c r="AT11" s="297"/>
      <c r="AU11" s="297">
        <v>1</v>
      </c>
      <c r="AV11" s="297">
        <v>26</v>
      </c>
      <c r="AW11" s="297">
        <v>50</v>
      </c>
      <c r="AX11" s="297"/>
      <c r="AY11" s="305" t="s">
        <v>1347</v>
      </c>
      <c r="AZ11" s="298"/>
      <c r="BA11" s="291"/>
      <c r="BB11" s="291"/>
    </row>
    <row r="12" s="273" customFormat="1" ht="69" customHeight="1" spans="1:54">
      <c r="A12" s="51" t="s">
        <v>191</v>
      </c>
      <c r="B12" s="51" t="s">
        <v>1132</v>
      </c>
      <c r="C12" s="296" t="s">
        <v>1348</v>
      </c>
      <c r="D12" s="296" t="s">
        <v>1349</v>
      </c>
      <c r="E12" s="296" t="s">
        <v>1350</v>
      </c>
      <c r="F12" s="296" t="s">
        <v>1351</v>
      </c>
      <c r="G12" s="296" t="s">
        <v>319</v>
      </c>
      <c r="H12" s="296"/>
      <c r="I12" s="296" t="s">
        <v>1352</v>
      </c>
      <c r="J12" s="296" t="s">
        <v>1181</v>
      </c>
      <c r="K12" s="296" t="s">
        <v>1353</v>
      </c>
      <c r="L12" s="296" t="s">
        <v>1354</v>
      </c>
      <c r="M12" s="296" t="s">
        <v>1355</v>
      </c>
      <c r="N12" s="296"/>
      <c r="O12" s="296" t="s">
        <v>1356</v>
      </c>
      <c r="P12" s="296" t="s">
        <v>1263</v>
      </c>
      <c r="Q12" s="296" t="s">
        <v>1357</v>
      </c>
      <c r="R12" s="296" t="s">
        <v>1358</v>
      </c>
      <c r="S12" s="296" t="s">
        <v>1359</v>
      </c>
      <c r="T12" s="296" t="s">
        <v>1360</v>
      </c>
      <c r="U12" s="296"/>
      <c r="V12" s="296" t="s">
        <v>1361</v>
      </c>
      <c r="W12" s="296" t="s">
        <v>1362</v>
      </c>
      <c r="X12" s="296" t="s">
        <v>1363</v>
      </c>
      <c r="Y12" s="296" t="s">
        <v>1364</v>
      </c>
      <c r="Z12" s="296" t="s">
        <v>1365</v>
      </c>
      <c r="AA12" s="296" t="s">
        <v>1366</v>
      </c>
      <c r="AB12" s="296"/>
      <c r="AC12" s="296" t="s">
        <v>1367</v>
      </c>
      <c r="AD12" s="296" t="s">
        <v>1368</v>
      </c>
      <c r="AE12" s="296" t="s">
        <v>1365</v>
      </c>
      <c r="AF12" s="296" t="s">
        <v>1369</v>
      </c>
      <c r="AG12" s="51" t="s">
        <v>191</v>
      </c>
      <c r="AH12" s="51">
        <v>26</v>
      </c>
      <c r="AI12" s="51">
        <v>25</v>
      </c>
      <c r="AJ12" s="51"/>
      <c r="AK12" s="51"/>
      <c r="AL12" s="51"/>
      <c r="AM12" s="297"/>
      <c r="AN12" s="297"/>
      <c r="AO12" s="297"/>
      <c r="AP12" s="297"/>
      <c r="AQ12" s="297"/>
      <c r="AR12" s="297"/>
      <c r="AS12" s="297"/>
      <c r="AT12" s="297"/>
      <c r="AU12" s="297">
        <v>1</v>
      </c>
      <c r="AV12" s="297">
        <v>26</v>
      </c>
      <c r="AW12" s="297"/>
      <c r="AX12" s="297">
        <v>200</v>
      </c>
      <c r="AY12" s="305" t="s">
        <v>1370</v>
      </c>
      <c r="AZ12" s="298"/>
      <c r="BA12" s="291"/>
      <c r="BB12" s="291"/>
    </row>
    <row r="13" s="275" customFormat="1"/>
    <row r="16" s="275" customFormat="1" spans="1:54"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</row>
    <row r="17" spans="50:50">
      <c r="AX17" s="295"/>
    </row>
    <row r="1048573" s="318" customFormat="1"/>
    <row r="1048574" s="318" customFormat="1"/>
  </sheetData>
  <pageMargins left="0.25" right="0.25" top="0.75" bottom="0.75" header="0.298611111111111" footer="0.298611111111111"/>
  <pageSetup paperSize="9" scale="3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1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AQ22" sqref="AQ22"/>
    </sheetView>
  </sheetViews>
  <sheetFormatPr defaultColWidth="9" defaultRowHeight="15"/>
  <cols>
    <col min="1" max="2" width="10.6333333333333" style="306" customWidth="1"/>
    <col min="3" max="32" width="8.63333333333333" style="306" customWidth="1"/>
    <col min="33" max="50" width="10.6333333333333" style="306" customWidth="1"/>
    <col min="51" max="51" width="73.6333333333333" style="306" customWidth="1"/>
    <col min="52" max="52" width="18.9666666666667" style="307" customWidth="1"/>
    <col min="53" max="16381" width="9" style="80"/>
    <col min="16382" max="16384" width="9" style="308"/>
  </cols>
  <sheetData>
    <row r="1" s="80" customFormat="1" ht="60" customHeight="1" spans="1:56">
      <c r="A1" s="309" t="s">
        <v>1</v>
      </c>
      <c r="B1" s="309" t="s">
        <v>4</v>
      </c>
      <c r="C1" s="309" t="s">
        <v>283</v>
      </c>
      <c r="D1" s="309" t="s">
        <v>284</v>
      </c>
      <c r="E1" s="309" t="s">
        <v>285</v>
      </c>
      <c r="F1" s="309" t="s">
        <v>286</v>
      </c>
      <c r="G1" s="309" t="s">
        <v>287</v>
      </c>
      <c r="H1" s="309" t="s">
        <v>288</v>
      </c>
      <c r="I1" s="309" t="s">
        <v>289</v>
      </c>
      <c r="J1" s="309" t="s">
        <v>290</v>
      </c>
      <c r="K1" s="309" t="s">
        <v>291</v>
      </c>
      <c r="L1" s="309" t="s">
        <v>292</v>
      </c>
      <c r="M1" s="309" t="s">
        <v>293</v>
      </c>
      <c r="N1" s="309" t="s">
        <v>294</v>
      </c>
      <c r="O1" s="309" t="s">
        <v>295</v>
      </c>
      <c r="P1" s="309" t="s">
        <v>296</v>
      </c>
      <c r="Q1" s="309" t="s">
        <v>297</v>
      </c>
      <c r="R1" s="309" t="s">
        <v>298</v>
      </c>
      <c r="S1" s="309" t="s">
        <v>299</v>
      </c>
      <c r="T1" s="309" t="s">
        <v>300</v>
      </c>
      <c r="U1" s="309" t="s">
        <v>301</v>
      </c>
      <c r="V1" s="309" t="s">
        <v>302</v>
      </c>
      <c r="W1" s="309" t="s">
        <v>303</v>
      </c>
      <c r="X1" s="309" t="s">
        <v>304</v>
      </c>
      <c r="Y1" s="309" t="s">
        <v>305</v>
      </c>
      <c r="Z1" s="309" t="s">
        <v>306</v>
      </c>
      <c r="AA1" s="309" t="s">
        <v>307</v>
      </c>
      <c r="AB1" s="309" t="s">
        <v>308</v>
      </c>
      <c r="AC1" s="309" t="s">
        <v>309</v>
      </c>
      <c r="AD1" s="309" t="s">
        <v>310</v>
      </c>
      <c r="AE1" s="309" t="s">
        <v>311</v>
      </c>
      <c r="AF1" s="309" t="s">
        <v>312</v>
      </c>
      <c r="AG1" s="281" t="s">
        <v>1</v>
      </c>
      <c r="AH1" s="282" t="s">
        <v>6</v>
      </c>
      <c r="AI1" s="310" t="s">
        <v>7</v>
      </c>
      <c r="AJ1" s="281" t="s">
        <v>8</v>
      </c>
      <c r="AK1" s="281" t="s">
        <v>9</v>
      </c>
      <c r="AL1" s="281" t="s">
        <v>10</v>
      </c>
      <c r="AM1" s="281" t="s">
        <v>11</v>
      </c>
      <c r="AN1" s="281" t="s">
        <v>12</v>
      </c>
      <c r="AO1" s="281" t="s">
        <v>13</v>
      </c>
      <c r="AP1" s="281" t="s">
        <v>14</v>
      </c>
      <c r="AQ1" s="281" t="s">
        <v>15</v>
      </c>
      <c r="AR1" s="281" t="s">
        <v>16</v>
      </c>
      <c r="AS1" s="281" t="s">
        <v>313</v>
      </c>
      <c r="AT1" s="281" t="s">
        <v>18</v>
      </c>
      <c r="AU1" s="282" t="s">
        <v>19</v>
      </c>
      <c r="AV1" s="283" t="s">
        <v>20</v>
      </c>
      <c r="AW1" s="282" t="s">
        <v>21</v>
      </c>
      <c r="AX1" s="282" t="s">
        <v>24</v>
      </c>
      <c r="AY1" s="282" t="s">
        <v>23</v>
      </c>
      <c r="AZ1" s="311" t="s">
        <v>279</v>
      </c>
    </row>
    <row r="2" s="80" customFormat="1" ht="73" customHeight="1" spans="1:56">
      <c r="A2" s="312" t="s">
        <v>149</v>
      </c>
      <c r="B2" s="312" t="s">
        <v>1371</v>
      </c>
      <c r="C2" s="296" t="s">
        <v>861</v>
      </c>
      <c r="D2" s="296" t="s">
        <v>784</v>
      </c>
      <c r="E2" s="296" t="s">
        <v>1372</v>
      </c>
      <c r="F2" s="296" t="s">
        <v>462</v>
      </c>
      <c r="G2" s="296" t="s">
        <v>319</v>
      </c>
      <c r="H2" s="296"/>
      <c r="I2" s="296" t="s">
        <v>462</v>
      </c>
      <c r="J2" s="296" t="s">
        <v>778</v>
      </c>
      <c r="K2" s="296" t="s">
        <v>784</v>
      </c>
      <c r="L2" s="296" t="s">
        <v>1047</v>
      </c>
      <c r="M2" s="296" t="s">
        <v>937</v>
      </c>
      <c r="N2" s="296"/>
      <c r="O2" s="296" t="s">
        <v>861</v>
      </c>
      <c r="P2" s="296" t="s">
        <v>973</v>
      </c>
      <c r="Q2" s="303" t="s">
        <v>1373</v>
      </c>
      <c r="R2" s="296" t="s">
        <v>532</v>
      </c>
      <c r="S2" s="296" t="s">
        <v>467</v>
      </c>
      <c r="T2" s="296"/>
      <c r="U2" s="296"/>
      <c r="V2" s="296" t="s">
        <v>522</v>
      </c>
      <c r="W2" s="296" t="s">
        <v>861</v>
      </c>
      <c r="X2" s="296" t="s">
        <v>861</v>
      </c>
      <c r="Y2" s="296" t="s">
        <v>472</v>
      </c>
      <c r="Z2" s="296" t="s">
        <v>952</v>
      </c>
      <c r="AA2" s="296" t="s">
        <v>784</v>
      </c>
      <c r="AB2" s="296"/>
      <c r="AC2" s="296"/>
      <c r="AD2" s="296" t="s">
        <v>1014</v>
      </c>
      <c r="AE2" s="296" t="s">
        <v>771</v>
      </c>
      <c r="AF2" s="296" t="s">
        <v>1374</v>
      </c>
      <c r="AG2" s="313" t="s">
        <v>149</v>
      </c>
      <c r="AH2" s="312" t="s">
        <v>1375</v>
      </c>
      <c r="AI2" s="314">
        <v>22.37</v>
      </c>
      <c r="AJ2" s="312"/>
      <c r="AK2" s="312"/>
      <c r="AL2" s="315"/>
      <c r="AM2" s="315"/>
      <c r="AN2" s="315">
        <v>0.63</v>
      </c>
      <c r="AO2" s="315"/>
      <c r="AP2" s="315"/>
      <c r="AQ2" s="315"/>
      <c r="AR2" s="315"/>
      <c r="AS2" s="315"/>
      <c r="AT2" s="315"/>
      <c r="AU2" s="315">
        <v>1</v>
      </c>
      <c r="AV2" s="315">
        <v>24</v>
      </c>
      <c r="AW2" s="315"/>
      <c r="AX2" s="312" t="s">
        <v>1376</v>
      </c>
      <c r="AY2" s="316" t="s">
        <v>1377</v>
      </c>
      <c r="AZ2" s="313">
        <v>0.5</v>
      </c>
      <c r="BA2" s="291"/>
      <c r="BB2" s="291"/>
      <c r="BC2" s="291"/>
      <c r="BD2" s="291"/>
    </row>
    <row r="3" s="80" customFormat="1" ht="73" customHeight="1" spans="1:56">
      <c r="A3" s="312" t="s">
        <v>162</v>
      </c>
      <c r="B3" s="312" t="s">
        <v>64</v>
      </c>
      <c r="C3" s="296" t="s">
        <v>563</v>
      </c>
      <c r="D3" s="296" t="s">
        <v>339</v>
      </c>
      <c r="E3" s="296" t="s">
        <v>771</v>
      </c>
      <c r="F3" s="296" t="s">
        <v>1378</v>
      </c>
      <c r="G3" s="296" t="s">
        <v>319</v>
      </c>
      <c r="H3" s="296"/>
      <c r="I3" s="296" t="s">
        <v>339</v>
      </c>
      <c r="J3" s="296" t="s">
        <v>1379</v>
      </c>
      <c r="K3" s="296" t="s">
        <v>1378</v>
      </c>
      <c r="L3" s="296" t="s">
        <v>563</v>
      </c>
      <c r="M3" s="296" t="s">
        <v>339</v>
      </c>
      <c r="N3" s="296"/>
      <c r="O3" s="296" t="s">
        <v>1378</v>
      </c>
      <c r="P3" s="296" t="s">
        <v>1379</v>
      </c>
      <c r="Q3" s="296" t="s">
        <v>1378</v>
      </c>
      <c r="R3" s="296" t="s">
        <v>771</v>
      </c>
      <c r="S3" s="296"/>
      <c r="T3" s="296"/>
      <c r="U3" s="296"/>
      <c r="V3" s="296" t="s">
        <v>778</v>
      </c>
      <c r="W3" s="296" t="s">
        <v>771</v>
      </c>
      <c r="X3" s="296" t="s">
        <v>861</v>
      </c>
      <c r="Y3" s="296" t="s">
        <v>783</v>
      </c>
      <c r="Z3" s="296" t="s">
        <v>339</v>
      </c>
      <c r="AA3" s="296" t="s">
        <v>783</v>
      </c>
      <c r="AB3" s="296"/>
      <c r="AC3" s="296" t="s">
        <v>771</v>
      </c>
      <c r="AD3" s="296" t="s">
        <v>339</v>
      </c>
      <c r="AE3" s="296" t="s">
        <v>861</v>
      </c>
      <c r="AF3" s="296" t="s">
        <v>475</v>
      </c>
      <c r="AG3" s="313" t="s">
        <v>162</v>
      </c>
      <c r="AH3" s="314">
        <v>24</v>
      </c>
      <c r="AI3" s="314">
        <v>23</v>
      </c>
      <c r="AJ3" s="312"/>
      <c r="AK3" s="312"/>
      <c r="AL3" s="315"/>
      <c r="AM3" s="315"/>
      <c r="AN3" s="315"/>
      <c r="AO3" s="315"/>
      <c r="AP3" s="315"/>
      <c r="AQ3" s="315"/>
      <c r="AR3" s="315"/>
      <c r="AS3" s="315"/>
      <c r="AT3" s="315"/>
      <c r="AU3" s="315">
        <v>1</v>
      </c>
      <c r="AV3" s="315">
        <v>24</v>
      </c>
      <c r="AW3" s="315"/>
      <c r="AX3" s="312">
        <v>200</v>
      </c>
      <c r="AY3" s="316" t="s">
        <v>256</v>
      </c>
      <c r="AZ3" s="313">
        <v>0</v>
      </c>
      <c r="BA3" s="291"/>
      <c r="BB3" s="291"/>
      <c r="BC3" s="291"/>
      <c r="BD3" s="291"/>
    </row>
    <row r="4" s="80" customFormat="1" ht="73" customHeight="1" spans="1:56">
      <c r="A4" s="312" t="s">
        <v>147</v>
      </c>
      <c r="B4" s="312" t="s">
        <v>1371</v>
      </c>
      <c r="C4" s="296" t="s">
        <v>771</v>
      </c>
      <c r="D4" s="296" t="s">
        <v>1379</v>
      </c>
      <c r="E4" s="296" t="s">
        <v>1380</v>
      </c>
      <c r="F4" s="296" t="s">
        <v>1381</v>
      </c>
      <c r="G4" s="296" t="s">
        <v>319</v>
      </c>
      <c r="H4" s="296"/>
      <c r="I4" s="296" t="s">
        <v>771</v>
      </c>
      <c r="J4" s="296" t="s">
        <v>1379</v>
      </c>
      <c r="K4" s="296" t="s">
        <v>1382</v>
      </c>
      <c r="L4" s="296" t="s">
        <v>1381</v>
      </c>
      <c r="M4" s="296"/>
      <c r="N4" s="296"/>
      <c r="O4" s="296" t="s">
        <v>1378</v>
      </c>
      <c r="P4" s="296" t="s">
        <v>783</v>
      </c>
      <c r="Q4" s="296" t="s">
        <v>783</v>
      </c>
      <c r="R4" s="296" t="s">
        <v>1014</v>
      </c>
      <c r="S4" s="296" t="s">
        <v>783</v>
      </c>
      <c r="T4" s="296" t="s">
        <v>783</v>
      </c>
      <c r="U4" s="296"/>
      <c r="V4" s="296" t="s">
        <v>771</v>
      </c>
      <c r="W4" s="296" t="s">
        <v>771</v>
      </c>
      <c r="X4" s="296" t="s">
        <v>1381</v>
      </c>
      <c r="Y4" s="296" t="s">
        <v>1381</v>
      </c>
      <c r="Z4" s="296" t="s">
        <v>783</v>
      </c>
      <c r="AA4" s="296"/>
      <c r="AB4" s="296"/>
      <c r="AC4" s="296" t="s">
        <v>783</v>
      </c>
      <c r="AD4" s="296" t="s">
        <v>339</v>
      </c>
      <c r="AE4" s="296" t="s">
        <v>783</v>
      </c>
      <c r="AF4" s="296" t="s">
        <v>1378</v>
      </c>
      <c r="AG4" s="313" t="s">
        <v>147</v>
      </c>
      <c r="AH4" s="314">
        <v>24</v>
      </c>
      <c r="AI4" s="314">
        <v>23</v>
      </c>
      <c r="AJ4" s="312"/>
      <c r="AK4" s="312"/>
      <c r="AL4" s="315"/>
      <c r="AM4" s="315"/>
      <c r="AN4" s="315"/>
      <c r="AO4" s="315"/>
      <c r="AP4" s="315"/>
      <c r="AQ4" s="315"/>
      <c r="AR4" s="315"/>
      <c r="AS4" s="315"/>
      <c r="AT4" s="315"/>
      <c r="AU4" s="315">
        <v>1</v>
      </c>
      <c r="AV4" s="315">
        <v>24</v>
      </c>
      <c r="AW4" s="315"/>
      <c r="AX4" s="312">
        <v>200</v>
      </c>
      <c r="AY4" s="316" t="s">
        <v>256</v>
      </c>
      <c r="AZ4" s="313">
        <v>0</v>
      </c>
      <c r="BA4" s="291"/>
      <c r="BB4" s="291"/>
      <c r="BC4" s="291"/>
      <c r="BD4" s="291"/>
    </row>
    <row r="5" s="80" customFormat="1" ht="73" customHeight="1" spans="1:56">
      <c r="A5" s="312" t="s">
        <v>160</v>
      </c>
      <c r="B5" s="312" t="s">
        <v>1371</v>
      </c>
      <c r="C5" s="296" t="s">
        <v>1380</v>
      </c>
      <c r="D5" s="296" t="s">
        <v>563</v>
      </c>
      <c r="E5" s="296" t="s">
        <v>1372</v>
      </c>
      <c r="F5" s="296" t="s">
        <v>462</v>
      </c>
      <c r="G5" s="296" t="s">
        <v>319</v>
      </c>
      <c r="H5" s="296"/>
      <c r="I5" s="296" t="s">
        <v>783</v>
      </c>
      <c r="J5" s="296" t="s">
        <v>1372</v>
      </c>
      <c r="K5" s="296" t="s">
        <v>1382</v>
      </c>
      <c r="L5" s="296" t="s">
        <v>778</v>
      </c>
      <c r="M5" s="296"/>
      <c r="N5" s="296"/>
      <c r="O5" s="296" t="s">
        <v>771</v>
      </c>
      <c r="P5" s="296" t="s">
        <v>784</v>
      </c>
      <c r="Q5" s="296" t="s">
        <v>1014</v>
      </c>
      <c r="R5" s="296" t="s">
        <v>784</v>
      </c>
      <c r="S5" s="296" t="s">
        <v>778</v>
      </c>
      <c r="T5" s="296" t="s">
        <v>1003</v>
      </c>
      <c r="U5" s="296"/>
      <c r="V5" s="296" t="s">
        <v>1372</v>
      </c>
      <c r="W5" s="296" t="s">
        <v>1372</v>
      </c>
      <c r="X5" s="296" t="s">
        <v>778</v>
      </c>
      <c r="Y5" s="296" t="s">
        <v>778</v>
      </c>
      <c r="Z5" s="296" t="s">
        <v>1105</v>
      </c>
      <c r="AA5" s="296"/>
      <c r="AB5" s="296"/>
      <c r="AC5" s="296" t="s">
        <v>475</v>
      </c>
      <c r="AD5" s="296" t="s">
        <v>778</v>
      </c>
      <c r="AE5" s="296" t="s">
        <v>1372</v>
      </c>
      <c r="AF5" s="296" t="s">
        <v>1380</v>
      </c>
      <c r="AG5" s="313" t="s">
        <v>160</v>
      </c>
      <c r="AH5" s="314">
        <v>24</v>
      </c>
      <c r="AI5" s="314">
        <v>23</v>
      </c>
      <c r="AJ5" s="312"/>
      <c r="AK5" s="312"/>
      <c r="AL5" s="315"/>
      <c r="AM5" s="315"/>
      <c r="AN5" s="315"/>
      <c r="AO5" s="315"/>
      <c r="AP5" s="315"/>
      <c r="AQ5" s="315"/>
      <c r="AR5" s="315"/>
      <c r="AS5" s="315"/>
      <c r="AT5" s="315"/>
      <c r="AU5" s="315">
        <v>1</v>
      </c>
      <c r="AV5" s="315">
        <v>24</v>
      </c>
      <c r="AW5" s="315"/>
      <c r="AX5" s="312">
        <v>200</v>
      </c>
      <c r="AY5" s="316" t="s">
        <v>256</v>
      </c>
      <c r="AZ5" s="313">
        <v>0</v>
      </c>
      <c r="BA5" s="291"/>
      <c r="BB5" s="291"/>
      <c r="BC5" s="291"/>
      <c r="BD5" s="291"/>
    </row>
    <row r="6" s="80" customFormat="1" ht="73" customHeight="1" spans="1:56">
      <c r="A6" s="312" t="s">
        <v>158</v>
      </c>
      <c r="B6" s="312" t="s">
        <v>1371</v>
      </c>
      <c r="C6" s="296" t="s">
        <v>339</v>
      </c>
      <c r="D6" s="296" t="s">
        <v>1379</v>
      </c>
      <c r="E6" s="296" t="s">
        <v>1378</v>
      </c>
      <c r="F6" s="296" t="s">
        <v>1379</v>
      </c>
      <c r="G6" s="296" t="s">
        <v>319</v>
      </c>
      <c r="H6" s="296"/>
      <c r="I6" s="296" t="s">
        <v>1383</v>
      </c>
      <c r="J6" s="296" t="s">
        <v>1378</v>
      </c>
      <c r="K6" s="296" t="s">
        <v>783</v>
      </c>
      <c r="L6" s="296" t="s">
        <v>1382</v>
      </c>
      <c r="M6" s="296"/>
      <c r="N6" s="296"/>
      <c r="O6" s="303" t="s">
        <v>1384</v>
      </c>
      <c r="P6" s="303" t="s">
        <v>1384</v>
      </c>
      <c r="Q6" s="296" t="s">
        <v>1054</v>
      </c>
      <c r="R6" s="296" t="s">
        <v>1372</v>
      </c>
      <c r="S6" s="296" t="s">
        <v>339</v>
      </c>
      <c r="T6" s="296" t="s">
        <v>1372</v>
      </c>
      <c r="U6" s="296"/>
      <c r="V6" s="296" t="s">
        <v>1385</v>
      </c>
      <c r="W6" s="296" t="s">
        <v>339</v>
      </c>
      <c r="X6" s="296" t="s">
        <v>783</v>
      </c>
      <c r="Y6" s="296" t="s">
        <v>1386</v>
      </c>
      <c r="Z6" s="296" t="s">
        <v>563</v>
      </c>
      <c r="AA6" s="296"/>
      <c r="AB6" s="296"/>
      <c r="AC6" s="296" t="s">
        <v>339</v>
      </c>
      <c r="AD6" s="296" t="s">
        <v>783</v>
      </c>
      <c r="AE6" s="296" t="s">
        <v>1380</v>
      </c>
      <c r="AF6" s="296" t="s">
        <v>1387</v>
      </c>
      <c r="AG6" s="313" t="s">
        <v>158</v>
      </c>
      <c r="AH6" s="314">
        <v>24</v>
      </c>
      <c r="AI6" s="314">
        <v>21</v>
      </c>
      <c r="AJ6" s="312"/>
      <c r="AK6" s="312"/>
      <c r="AL6" s="315"/>
      <c r="AM6" s="315"/>
      <c r="AN6" s="315">
        <v>2</v>
      </c>
      <c r="AO6" s="315"/>
      <c r="AP6" s="315"/>
      <c r="AQ6" s="315"/>
      <c r="AR6" s="315"/>
      <c r="AS6" s="315"/>
      <c r="AT6" s="315"/>
      <c r="AU6" s="315">
        <v>1</v>
      </c>
      <c r="AV6" s="315">
        <v>24</v>
      </c>
      <c r="AW6" s="315"/>
      <c r="AX6" s="312">
        <v>200</v>
      </c>
      <c r="AY6" s="316" t="s">
        <v>1388</v>
      </c>
      <c r="AZ6" s="313">
        <v>0</v>
      </c>
      <c r="BA6" s="291"/>
      <c r="BB6" s="291"/>
      <c r="BC6" s="291"/>
      <c r="BD6" s="291"/>
    </row>
    <row r="7" s="80" customFormat="1" ht="73" customHeight="1" spans="1:56">
      <c r="A7" s="312" t="s">
        <v>143</v>
      </c>
      <c r="B7" s="312" t="s">
        <v>1371</v>
      </c>
      <c r="C7" s="296" t="s">
        <v>1381</v>
      </c>
      <c r="D7" s="296" t="s">
        <v>1380</v>
      </c>
      <c r="E7" s="296" t="s">
        <v>1386</v>
      </c>
      <c r="F7" s="296" t="s">
        <v>1382</v>
      </c>
      <c r="G7" s="296" t="s">
        <v>319</v>
      </c>
      <c r="H7" s="296"/>
      <c r="I7" s="296" t="s">
        <v>771</v>
      </c>
      <c r="J7" s="296" t="s">
        <v>1380</v>
      </c>
      <c r="K7" s="296" t="s">
        <v>1380</v>
      </c>
      <c r="L7" s="296" t="s">
        <v>1381</v>
      </c>
      <c r="M7" s="296"/>
      <c r="N7" s="296"/>
      <c r="O7" s="296" t="s">
        <v>1381</v>
      </c>
      <c r="P7" s="296" t="s">
        <v>1380</v>
      </c>
      <c r="Q7" s="296" t="s">
        <v>1380</v>
      </c>
      <c r="R7" s="296" t="s">
        <v>861</v>
      </c>
      <c r="S7" s="296" t="s">
        <v>339</v>
      </c>
      <c r="T7" s="296" t="s">
        <v>462</v>
      </c>
      <c r="U7" s="296"/>
      <c r="V7" s="296" t="s">
        <v>1381</v>
      </c>
      <c r="W7" s="296" t="s">
        <v>1386</v>
      </c>
      <c r="X7" s="296" t="s">
        <v>1380</v>
      </c>
      <c r="Y7" s="296" t="s">
        <v>1389</v>
      </c>
      <c r="Z7" s="296" t="s">
        <v>973</v>
      </c>
      <c r="AA7" s="296"/>
      <c r="AB7" s="296"/>
      <c r="AC7" s="296" t="s">
        <v>1381</v>
      </c>
      <c r="AD7" s="296" t="s">
        <v>1372</v>
      </c>
      <c r="AE7" s="296" t="s">
        <v>1390</v>
      </c>
      <c r="AF7" s="296" t="s">
        <v>1387</v>
      </c>
      <c r="AG7" s="313" t="s">
        <v>143</v>
      </c>
      <c r="AH7" s="314">
        <v>24</v>
      </c>
      <c r="AI7" s="314">
        <v>23</v>
      </c>
      <c r="AJ7" s="312"/>
      <c r="AK7" s="312"/>
      <c r="AL7" s="315"/>
      <c r="AM7" s="315"/>
      <c r="AN7" s="315"/>
      <c r="AO7" s="315"/>
      <c r="AP7" s="315"/>
      <c r="AQ7" s="315"/>
      <c r="AR7" s="315"/>
      <c r="AS7" s="315"/>
      <c r="AT7" s="315"/>
      <c r="AU7" s="315">
        <v>1</v>
      </c>
      <c r="AV7" s="315">
        <v>24</v>
      </c>
      <c r="AW7" s="315"/>
      <c r="AX7" s="312">
        <v>200</v>
      </c>
      <c r="AY7" s="316" t="s">
        <v>256</v>
      </c>
      <c r="AZ7" s="313">
        <v>1.5</v>
      </c>
      <c r="BA7" s="291"/>
      <c r="BB7" s="291"/>
      <c r="BC7" s="291"/>
      <c r="BD7" s="291"/>
    </row>
    <row r="8" s="80" customFormat="1" ht="73" customHeight="1" spans="1:56">
      <c r="A8" s="312" t="s">
        <v>152</v>
      </c>
      <c r="B8" s="312" t="s">
        <v>1371</v>
      </c>
      <c r="C8" s="296" t="s">
        <v>1047</v>
      </c>
      <c r="D8" s="296" t="s">
        <v>783</v>
      </c>
      <c r="E8" s="296" t="s">
        <v>1047</v>
      </c>
      <c r="F8" s="296" t="s">
        <v>1047</v>
      </c>
      <c r="G8" s="296" t="s">
        <v>319</v>
      </c>
      <c r="H8" s="296"/>
      <c r="I8" s="296" t="s">
        <v>1372</v>
      </c>
      <c r="J8" s="296" t="s">
        <v>1014</v>
      </c>
      <c r="K8" s="296" t="s">
        <v>1014</v>
      </c>
      <c r="L8" s="296" t="s">
        <v>1372</v>
      </c>
      <c r="M8" s="296"/>
      <c r="N8" s="296"/>
      <c r="O8" s="296" t="s">
        <v>1386</v>
      </c>
      <c r="P8" s="296" t="s">
        <v>462</v>
      </c>
      <c r="Q8" s="296" t="s">
        <v>519</v>
      </c>
      <c r="R8" s="296" t="s">
        <v>1014</v>
      </c>
      <c r="S8" s="296" t="s">
        <v>1372</v>
      </c>
      <c r="T8" s="296" t="s">
        <v>915</v>
      </c>
      <c r="U8" s="296"/>
      <c r="V8" s="296" t="s">
        <v>1130</v>
      </c>
      <c r="W8" s="296" t="s">
        <v>1385</v>
      </c>
      <c r="X8" s="296" t="s">
        <v>520</v>
      </c>
      <c r="Y8" s="296" t="s">
        <v>1372</v>
      </c>
      <c r="Z8" s="296" t="s">
        <v>1385</v>
      </c>
      <c r="AA8" s="296"/>
      <c r="AB8" s="296"/>
      <c r="AC8" s="296" t="s">
        <v>1385</v>
      </c>
      <c r="AD8" s="296" t="s">
        <v>784</v>
      </c>
      <c r="AE8" s="296" t="s">
        <v>926</v>
      </c>
      <c r="AF8" s="296" t="s">
        <v>1013</v>
      </c>
      <c r="AG8" s="313" t="s">
        <v>152</v>
      </c>
      <c r="AH8" s="314">
        <v>24</v>
      </c>
      <c r="AI8" s="314">
        <v>23</v>
      </c>
      <c r="AJ8" s="312"/>
      <c r="AK8" s="312"/>
      <c r="AL8" s="315"/>
      <c r="AM8" s="315"/>
      <c r="AN8" s="315"/>
      <c r="AO8" s="315"/>
      <c r="AP8" s="315"/>
      <c r="AQ8" s="315"/>
      <c r="AR8" s="315"/>
      <c r="AS8" s="315"/>
      <c r="AT8" s="315"/>
      <c r="AU8" s="315">
        <v>1</v>
      </c>
      <c r="AV8" s="315">
        <v>24</v>
      </c>
      <c r="AW8" s="315"/>
      <c r="AX8" s="312">
        <v>200</v>
      </c>
      <c r="AY8" s="316" t="s">
        <v>256</v>
      </c>
      <c r="AZ8" s="313">
        <v>0</v>
      </c>
      <c r="BA8" s="291"/>
      <c r="BB8" s="291"/>
      <c r="BC8" s="291"/>
      <c r="BD8" s="291"/>
    </row>
    <row r="9" s="80" customFormat="1" ht="73" customHeight="1" spans="1:56">
      <c r="A9" s="312" t="s">
        <v>156</v>
      </c>
      <c r="B9" s="312" t="s">
        <v>1371</v>
      </c>
      <c r="C9" s="296" t="s">
        <v>778</v>
      </c>
      <c r="D9" s="296" t="s">
        <v>783</v>
      </c>
      <c r="E9" s="296" t="s">
        <v>861</v>
      </c>
      <c r="F9" s="303" t="s">
        <v>1391</v>
      </c>
      <c r="G9" s="296" t="s">
        <v>319</v>
      </c>
      <c r="H9" s="296"/>
      <c r="I9" s="296" t="s">
        <v>1392</v>
      </c>
      <c r="J9" s="296" t="s">
        <v>861</v>
      </c>
      <c r="K9" s="296" t="s">
        <v>1014</v>
      </c>
      <c r="L9" s="296" t="s">
        <v>1014</v>
      </c>
      <c r="M9" s="296"/>
      <c r="N9" s="296"/>
      <c r="O9" s="296" t="s">
        <v>1393</v>
      </c>
      <c r="P9" s="296" t="s">
        <v>861</v>
      </c>
      <c r="Q9" s="296" t="s">
        <v>462</v>
      </c>
      <c r="R9" s="296" t="s">
        <v>861</v>
      </c>
      <c r="S9" s="296" t="s">
        <v>1014</v>
      </c>
      <c r="T9" s="296" t="s">
        <v>462</v>
      </c>
      <c r="U9" s="296"/>
      <c r="V9" s="296" t="s">
        <v>1394</v>
      </c>
      <c r="W9" s="296" t="s">
        <v>877</v>
      </c>
      <c r="X9" s="296" t="s">
        <v>462</v>
      </c>
      <c r="Y9" s="296" t="s">
        <v>877</v>
      </c>
      <c r="Z9" s="296" t="s">
        <v>783</v>
      </c>
      <c r="AA9" s="296"/>
      <c r="AB9" s="296"/>
      <c r="AC9" s="296" t="s">
        <v>1395</v>
      </c>
      <c r="AD9" s="296" t="s">
        <v>472</v>
      </c>
      <c r="AE9" s="296" t="s">
        <v>431</v>
      </c>
      <c r="AF9" s="296" t="s">
        <v>1047</v>
      </c>
      <c r="AG9" s="313" t="s">
        <v>156</v>
      </c>
      <c r="AH9" s="314">
        <v>24</v>
      </c>
      <c r="AI9" s="314">
        <v>22</v>
      </c>
      <c r="AJ9" s="312"/>
      <c r="AK9" s="312"/>
      <c r="AL9" s="315"/>
      <c r="AM9" s="315">
        <v>1</v>
      </c>
      <c r="AN9" s="315"/>
      <c r="AO9" s="315"/>
      <c r="AP9" s="315"/>
      <c r="AQ9" s="315"/>
      <c r="AR9" s="315"/>
      <c r="AS9" s="315"/>
      <c r="AT9" s="315"/>
      <c r="AU9" s="315">
        <v>1</v>
      </c>
      <c r="AV9" s="315">
        <v>23</v>
      </c>
      <c r="AW9" s="315"/>
      <c r="AX9" s="312"/>
      <c r="AY9" s="316" t="s">
        <v>1396</v>
      </c>
      <c r="AZ9" s="313">
        <v>0</v>
      </c>
      <c r="BA9" s="291"/>
      <c r="BB9" s="291"/>
      <c r="BC9" s="291"/>
      <c r="BD9" s="291"/>
    </row>
    <row r="10" s="80" customFormat="1" ht="73" customHeight="1" spans="1:56">
      <c r="A10" s="312" t="s">
        <v>154</v>
      </c>
      <c r="B10" s="312" t="s">
        <v>1371</v>
      </c>
      <c r="C10" s="296" t="s">
        <v>339</v>
      </c>
      <c r="D10" s="296"/>
      <c r="E10" s="296" t="s">
        <v>563</v>
      </c>
      <c r="F10" s="296" t="s">
        <v>563</v>
      </c>
      <c r="G10" s="296" t="s">
        <v>319</v>
      </c>
      <c r="H10" s="296"/>
      <c r="I10" s="296" t="s">
        <v>771</v>
      </c>
      <c r="J10" s="296" t="s">
        <v>462</v>
      </c>
      <c r="K10" s="296" t="s">
        <v>1378</v>
      </c>
      <c r="L10" s="296" t="s">
        <v>1378</v>
      </c>
      <c r="M10" s="296" t="s">
        <v>533</v>
      </c>
      <c r="N10" s="296"/>
      <c r="O10" s="296" t="s">
        <v>1383</v>
      </c>
      <c r="P10" s="296" t="s">
        <v>398</v>
      </c>
      <c r="Q10" s="296" t="s">
        <v>861</v>
      </c>
      <c r="R10" s="296" t="s">
        <v>861</v>
      </c>
      <c r="S10" s="296" t="s">
        <v>774</v>
      </c>
      <c r="T10" s="296"/>
      <c r="U10" s="296"/>
      <c r="V10" s="296" t="s">
        <v>882</v>
      </c>
      <c r="W10" s="296" t="s">
        <v>861</v>
      </c>
      <c r="X10" s="296" t="s">
        <v>475</v>
      </c>
      <c r="Y10" s="296" t="s">
        <v>475</v>
      </c>
      <c r="Z10" s="296" t="s">
        <v>853</v>
      </c>
      <c r="AA10" s="296" t="s">
        <v>778</v>
      </c>
      <c r="AB10" s="296"/>
      <c r="AC10" s="296" t="s">
        <v>853</v>
      </c>
      <c r="AD10" s="296" t="s">
        <v>475</v>
      </c>
      <c r="AE10" s="296" t="s">
        <v>471</v>
      </c>
      <c r="AF10" s="296" t="s">
        <v>1397</v>
      </c>
      <c r="AG10" s="313" t="s">
        <v>154</v>
      </c>
      <c r="AH10" s="314">
        <v>24</v>
      </c>
      <c r="AI10" s="314">
        <v>23</v>
      </c>
      <c r="AJ10" s="312"/>
      <c r="AK10" s="312"/>
      <c r="AL10" s="315"/>
      <c r="AM10" s="315"/>
      <c r="AN10" s="315"/>
      <c r="AO10" s="315"/>
      <c r="AP10" s="315"/>
      <c r="AQ10" s="315"/>
      <c r="AR10" s="315"/>
      <c r="AS10" s="315"/>
      <c r="AT10" s="315"/>
      <c r="AU10" s="315">
        <v>1</v>
      </c>
      <c r="AV10" s="315">
        <v>24</v>
      </c>
      <c r="AW10" s="315"/>
      <c r="AX10" s="312">
        <v>200</v>
      </c>
      <c r="AY10" s="316" t="s">
        <v>256</v>
      </c>
      <c r="AZ10" s="313">
        <v>0</v>
      </c>
      <c r="BA10" s="291"/>
      <c r="BB10" s="291"/>
      <c r="BC10" s="291"/>
      <c r="BD10" s="291"/>
    </row>
    <row r="11" s="80" customFormat="1" ht="73" customHeight="1" spans="1:56">
      <c r="A11" s="312" t="s">
        <v>164</v>
      </c>
      <c r="B11" s="312" t="s">
        <v>64</v>
      </c>
      <c r="C11" s="296" t="s">
        <v>563</v>
      </c>
      <c r="D11" s="296" t="s">
        <v>400</v>
      </c>
      <c r="E11" s="296" t="s">
        <v>339</v>
      </c>
      <c r="F11" s="317" t="s">
        <v>1398</v>
      </c>
      <c r="G11" s="296" t="s">
        <v>319</v>
      </c>
      <c r="H11" s="296"/>
      <c r="I11" s="317" t="s">
        <v>1399</v>
      </c>
      <c r="J11" s="317" t="s">
        <v>1400</v>
      </c>
      <c r="K11" s="296" t="s">
        <v>412</v>
      </c>
      <c r="L11" s="296" t="s">
        <v>1401</v>
      </c>
      <c r="M11" s="296"/>
      <c r="N11" s="296"/>
      <c r="O11" s="317" t="s">
        <v>1402</v>
      </c>
      <c r="P11" s="296" t="s">
        <v>783</v>
      </c>
      <c r="Q11" s="296" t="s">
        <v>778</v>
      </c>
      <c r="R11" s="296" t="s">
        <v>690</v>
      </c>
      <c r="S11" s="303" t="s">
        <v>1403</v>
      </c>
      <c r="T11" s="296" t="s">
        <v>1404</v>
      </c>
      <c r="U11" s="296"/>
      <c r="V11" s="317" t="s">
        <v>1402</v>
      </c>
      <c r="W11" s="296" t="s">
        <v>853</v>
      </c>
      <c r="X11" s="317" t="s">
        <v>1405</v>
      </c>
      <c r="Y11" s="296" t="s">
        <v>1406</v>
      </c>
      <c r="Z11" s="296" t="s">
        <v>955</v>
      </c>
      <c r="AA11" s="296"/>
      <c r="AB11" s="296"/>
      <c r="AC11" s="296" t="s">
        <v>1407</v>
      </c>
      <c r="AD11" s="296" t="s">
        <v>398</v>
      </c>
      <c r="AE11" s="296" t="s">
        <v>475</v>
      </c>
      <c r="AF11" s="296" t="s">
        <v>853</v>
      </c>
      <c r="AG11" s="313" t="s">
        <v>164</v>
      </c>
      <c r="AH11" s="314">
        <v>24</v>
      </c>
      <c r="AI11" s="314">
        <v>22.63</v>
      </c>
      <c r="AJ11" s="312">
        <v>33</v>
      </c>
      <c r="AK11" s="312"/>
      <c r="AL11" s="315"/>
      <c r="AM11" s="315">
        <v>0.37</v>
      </c>
      <c r="AN11" s="315"/>
      <c r="AO11" s="315"/>
      <c r="AP11" s="315"/>
      <c r="AQ11" s="315"/>
      <c r="AR11" s="315"/>
      <c r="AS11" s="315"/>
      <c r="AT11" s="315"/>
      <c r="AU11" s="315">
        <v>1</v>
      </c>
      <c r="AV11" s="315">
        <v>23.63</v>
      </c>
      <c r="AW11" s="315">
        <v>50</v>
      </c>
      <c r="AX11" s="312"/>
      <c r="AY11" s="305" t="s">
        <v>1408</v>
      </c>
      <c r="AZ11" s="313">
        <v>0.5</v>
      </c>
      <c r="BA11" s="291"/>
      <c r="BB11" s="291"/>
      <c r="BC11" s="291"/>
      <c r="BD11" s="291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4.25" outlineLevelRow="7"/>
  <cols>
    <col min="1" max="1" width="15" style="275" customWidth="1"/>
    <col min="2" max="2" width="15" style="300" customWidth="1"/>
    <col min="3" max="32" width="9.25" style="301" customWidth="1"/>
    <col min="33" max="33" width="15" style="275" customWidth="1"/>
    <col min="34" max="50" width="10.1333333333333" style="275" customWidth="1"/>
    <col min="51" max="51" width="36.1083333333333" style="295" customWidth="1"/>
    <col min="52" max="52" width="21.7666666666667" style="275" customWidth="1"/>
    <col min="53" max="55" width="9" style="275"/>
    <col min="56" max="16384" width="9" style="302"/>
  </cols>
  <sheetData>
    <row r="1" s="273" customFormat="1" ht="40" customHeight="1" spans="1:55">
      <c r="A1" s="280" t="s">
        <v>1</v>
      </c>
      <c r="B1" s="280" t="s">
        <v>4</v>
      </c>
      <c r="C1" s="280" t="s">
        <v>283</v>
      </c>
      <c r="D1" s="280" t="s">
        <v>284</v>
      </c>
      <c r="E1" s="280" t="s">
        <v>285</v>
      </c>
      <c r="F1" s="280" t="s">
        <v>286</v>
      </c>
      <c r="G1" s="280" t="s">
        <v>287</v>
      </c>
      <c r="H1" s="280" t="s">
        <v>288</v>
      </c>
      <c r="I1" s="280" t="s">
        <v>289</v>
      </c>
      <c r="J1" s="280" t="s">
        <v>290</v>
      </c>
      <c r="K1" s="280" t="s">
        <v>291</v>
      </c>
      <c r="L1" s="280" t="s">
        <v>292</v>
      </c>
      <c r="M1" s="280" t="s">
        <v>293</v>
      </c>
      <c r="N1" s="280" t="s">
        <v>294</v>
      </c>
      <c r="O1" s="280" t="s">
        <v>295</v>
      </c>
      <c r="P1" s="280" t="s">
        <v>296</v>
      </c>
      <c r="Q1" s="280" t="s">
        <v>297</v>
      </c>
      <c r="R1" s="280" t="s">
        <v>298</v>
      </c>
      <c r="S1" s="280" t="s">
        <v>299</v>
      </c>
      <c r="T1" s="280" t="s">
        <v>300</v>
      </c>
      <c r="U1" s="280" t="s">
        <v>301</v>
      </c>
      <c r="V1" s="280" t="s">
        <v>302</v>
      </c>
      <c r="W1" s="280" t="s">
        <v>303</v>
      </c>
      <c r="X1" s="280" t="s">
        <v>304</v>
      </c>
      <c r="Y1" s="280" t="s">
        <v>305</v>
      </c>
      <c r="Z1" s="280" t="s">
        <v>306</v>
      </c>
      <c r="AA1" s="280" t="s">
        <v>307</v>
      </c>
      <c r="AB1" s="280" t="s">
        <v>308</v>
      </c>
      <c r="AC1" s="280" t="s">
        <v>309</v>
      </c>
      <c r="AD1" s="280" t="s">
        <v>310</v>
      </c>
      <c r="AE1" s="280" t="s">
        <v>311</v>
      </c>
      <c r="AF1" s="280" t="s">
        <v>312</v>
      </c>
      <c r="AG1" s="281" t="s">
        <v>1</v>
      </c>
      <c r="AH1" s="282" t="s">
        <v>6</v>
      </c>
      <c r="AI1" s="282" t="s">
        <v>7</v>
      </c>
      <c r="AJ1" s="281" t="s">
        <v>8</v>
      </c>
      <c r="AK1" s="281" t="s">
        <v>9</v>
      </c>
      <c r="AL1" s="281" t="s">
        <v>10</v>
      </c>
      <c r="AM1" s="281" t="s">
        <v>11</v>
      </c>
      <c r="AN1" s="281" t="s">
        <v>12</v>
      </c>
      <c r="AO1" s="281" t="s">
        <v>13</v>
      </c>
      <c r="AP1" s="281" t="s">
        <v>14</v>
      </c>
      <c r="AQ1" s="281" t="s">
        <v>15</v>
      </c>
      <c r="AR1" s="281" t="s">
        <v>16</v>
      </c>
      <c r="AS1" s="281" t="s">
        <v>313</v>
      </c>
      <c r="AT1" s="281" t="s">
        <v>18</v>
      </c>
      <c r="AU1" s="282" t="s">
        <v>19</v>
      </c>
      <c r="AV1" s="283" t="s">
        <v>20</v>
      </c>
      <c r="AW1" s="282" t="s">
        <v>21</v>
      </c>
      <c r="AX1" s="282" t="s">
        <v>24</v>
      </c>
      <c r="AY1" s="282" t="s">
        <v>23</v>
      </c>
      <c r="AZ1" s="284" t="s">
        <v>279</v>
      </c>
    </row>
    <row r="2" s="273" customFormat="1" ht="70" customHeight="1" spans="1:55">
      <c r="A2" s="51" t="s">
        <v>197</v>
      </c>
      <c r="B2" s="285" t="s">
        <v>1409</v>
      </c>
      <c r="C2" s="296" t="s">
        <v>1410</v>
      </c>
      <c r="D2" s="296" t="s">
        <v>1411</v>
      </c>
      <c r="E2" s="296" t="s">
        <v>1412</v>
      </c>
      <c r="F2" s="296" t="s">
        <v>1386</v>
      </c>
      <c r="G2" s="296" t="s">
        <v>319</v>
      </c>
      <c r="H2" s="296"/>
      <c r="I2" s="296" t="s">
        <v>1413</v>
      </c>
      <c r="J2" s="296" t="s">
        <v>1414</v>
      </c>
      <c r="K2" s="296" t="s">
        <v>1415</v>
      </c>
      <c r="L2" s="296" t="s">
        <v>1416</v>
      </c>
      <c r="M2" s="296"/>
      <c r="N2" s="296"/>
      <c r="O2" s="296" t="s">
        <v>1417</v>
      </c>
      <c r="P2" s="296" t="s">
        <v>564</v>
      </c>
      <c r="Q2" s="296" t="s">
        <v>1418</v>
      </c>
      <c r="R2" s="296" t="s">
        <v>1419</v>
      </c>
      <c r="S2" s="296" t="s">
        <v>1130</v>
      </c>
      <c r="T2" s="303" t="s">
        <v>1420</v>
      </c>
      <c r="U2" s="296"/>
      <c r="V2" s="296" t="s">
        <v>1421</v>
      </c>
      <c r="W2" s="296" t="s">
        <v>1422</v>
      </c>
      <c r="X2" s="296" t="s">
        <v>1423</v>
      </c>
      <c r="Y2" s="303" t="s">
        <v>329</v>
      </c>
      <c r="Z2" s="296" t="s">
        <v>1424</v>
      </c>
      <c r="AA2" s="296"/>
      <c r="AB2" s="296"/>
      <c r="AC2" s="304" t="s">
        <v>1425</v>
      </c>
      <c r="AD2" s="296" t="s">
        <v>1426</v>
      </c>
      <c r="AE2" s="296" t="s">
        <v>1427</v>
      </c>
      <c r="AF2" s="296" t="s">
        <v>1418</v>
      </c>
      <c r="AG2" s="51" t="s">
        <v>197</v>
      </c>
      <c r="AH2" s="51">
        <v>24</v>
      </c>
      <c r="AI2" s="51">
        <v>21.44</v>
      </c>
      <c r="AJ2" s="51"/>
      <c r="AK2" s="51"/>
      <c r="AL2" s="51"/>
      <c r="AM2" s="297"/>
      <c r="AN2" s="297">
        <v>1.56</v>
      </c>
      <c r="AO2" s="297"/>
      <c r="AP2" s="297"/>
      <c r="AQ2" s="297"/>
      <c r="AR2" s="297"/>
      <c r="AS2" s="297"/>
      <c r="AT2" s="297"/>
      <c r="AU2" s="297">
        <v>1</v>
      </c>
      <c r="AV2" s="297">
        <v>24</v>
      </c>
      <c r="AW2" s="297"/>
      <c r="AX2" s="297">
        <v>200</v>
      </c>
      <c r="AY2" s="305" t="s">
        <v>1428</v>
      </c>
      <c r="AZ2" s="298">
        <v>0.5</v>
      </c>
      <c r="BA2" s="291"/>
      <c r="BB2" s="291"/>
      <c r="BC2" s="291"/>
    </row>
    <row r="3" s="273" customFormat="1" ht="70" customHeight="1" spans="1:55">
      <c r="A3" s="51" t="s">
        <v>193</v>
      </c>
      <c r="B3" s="285" t="s">
        <v>1409</v>
      </c>
      <c r="C3" s="296" t="s">
        <v>463</v>
      </c>
      <c r="D3" s="296" t="s">
        <v>1105</v>
      </c>
      <c r="E3" s="296" t="s">
        <v>1429</v>
      </c>
      <c r="F3" s="296" t="s">
        <v>406</v>
      </c>
      <c r="G3" s="296" t="s">
        <v>319</v>
      </c>
      <c r="H3" s="296"/>
      <c r="I3" s="296" t="s">
        <v>1430</v>
      </c>
      <c r="J3" s="296" t="s">
        <v>421</v>
      </c>
      <c r="K3" s="296" t="s">
        <v>861</v>
      </c>
      <c r="L3" s="296" t="s">
        <v>1431</v>
      </c>
      <c r="M3" s="296"/>
      <c r="N3" s="296"/>
      <c r="O3" s="296" t="s">
        <v>1432</v>
      </c>
      <c r="P3" s="296" t="s">
        <v>472</v>
      </c>
      <c r="Q3" s="296" t="s">
        <v>572</v>
      </c>
      <c r="R3" s="296" t="s">
        <v>466</v>
      </c>
      <c r="S3" s="296" t="s">
        <v>1433</v>
      </c>
      <c r="T3" s="296" t="s">
        <v>931</v>
      </c>
      <c r="U3" s="296"/>
      <c r="V3" s="296" t="s">
        <v>881</v>
      </c>
      <c r="W3" s="296" t="s">
        <v>533</v>
      </c>
      <c r="X3" s="296" t="s">
        <v>877</v>
      </c>
      <c r="Y3" s="296" t="s">
        <v>371</v>
      </c>
      <c r="Z3" s="296" t="s">
        <v>921</v>
      </c>
      <c r="AA3" s="296"/>
      <c r="AB3" s="296"/>
      <c r="AC3" s="304" t="s">
        <v>1434</v>
      </c>
      <c r="AD3" s="296" t="s">
        <v>385</v>
      </c>
      <c r="AE3" s="296" t="s">
        <v>676</v>
      </c>
      <c r="AF3" s="296" t="s">
        <v>1435</v>
      </c>
      <c r="AG3" s="51" t="s">
        <v>193</v>
      </c>
      <c r="AH3" s="51">
        <v>24</v>
      </c>
      <c r="AI3" s="51">
        <v>23</v>
      </c>
      <c r="AJ3" s="51"/>
      <c r="AK3" s="51"/>
      <c r="AL3" s="51"/>
      <c r="AM3" s="297"/>
      <c r="AN3" s="297"/>
      <c r="AO3" s="297"/>
      <c r="AP3" s="297"/>
      <c r="AQ3" s="297"/>
      <c r="AR3" s="297"/>
      <c r="AS3" s="297"/>
      <c r="AT3" s="297"/>
      <c r="AU3" s="297">
        <v>1</v>
      </c>
      <c r="AV3" s="297">
        <v>24</v>
      </c>
      <c r="AW3" s="297"/>
      <c r="AX3" s="297">
        <v>200</v>
      </c>
      <c r="AY3" s="305" t="s">
        <v>256</v>
      </c>
      <c r="AZ3" s="298">
        <v>1.5</v>
      </c>
      <c r="BA3" s="291"/>
      <c r="BB3" s="291"/>
      <c r="BC3" s="291"/>
    </row>
    <row r="4" s="273" customFormat="1" ht="70" customHeight="1" spans="1:55">
      <c r="A4" s="51" t="s">
        <v>199</v>
      </c>
      <c r="B4" s="285" t="s">
        <v>1409</v>
      </c>
      <c r="C4" s="296" t="s">
        <v>865</v>
      </c>
      <c r="D4" s="296" t="s">
        <v>967</v>
      </c>
      <c r="E4" s="296" t="s">
        <v>1012</v>
      </c>
      <c r="F4" s="296" t="s">
        <v>467</v>
      </c>
      <c r="G4" s="296" t="s">
        <v>319</v>
      </c>
      <c r="H4" s="296"/>
      <c r="I4" s="296" t="s">
        <v>352</v>
      </c>
      <c r="J4" s="296" t="s">
        <v>1076</v>
      </c>
      <c r="K4" s="296" t="s">
        <v>878</v>
      </c>
      <c r="L4" s="296" t="s">
        <v>1436</v>
      </c>
      <c r="M4" s="296"/>
      <c r="N4" s="296"/>
      <c r="O4" s="296" t="s">
        <v>1437</v>
      </c>
      <c r="P4" s="296" t="s">
        <v>1438</v>
      </c>
      <c r="Q4" s="296" t="s">
        <v>1439</v>
      </c>
      <c r="R4" s="296" t="s">
        <v>660</v>
      </c>
      <c r="S4" s="296" t="s">
        <v>1435</v>
      </c>
      <c r="T4" s="303" t="s">
        <v>329</v>
      </c>
      <c r="U4" s="296"/>
      <c r="V4" s="296" t="s">
        <v>1083</v>
      </c>
      <c r="W4" s="296" t="s">
        <v>1440</v>
      </c>
      <c r="X4" s="296" t="s">
        <v>574</v>
      </c>
      <c r="Y4" s="296" t="s">
        <v>575</v>
      </c>
      <c r="Z4" s="296" t="s">
        <v>781</v>
      </c>
      <c r="AA4" s="296"/>
      <c r="AB4" s="296"/>
      <c r="AC4" s="304" t="s">
        <v>1441</v>
      </c>
      <c r="AD4" s="296" t="s">
        <v>805</v>
      </c>
      <c r="AE4" s="296" t="s">
        <v>1442</v>
      </c>
      <c r="AF4" s="296" t="s">
        <v>805</v>
      </c>
      <c r="AG4" s="51" t="s">
        <v>199</v>
      </c>
      <c r="AH4" s="51">
        <v>24</v>
      </c>
      <c r="AI4" s="51">
        <v>22</v>
      </c>
      <c r="AJ4" s="51"/>
      <c r="AK4" s="51"/>
      <c r="AL4" s="51"/>
      <c r="AM4" s="297"/>
      <c r="AN4" s="297">
        <v>1</v>
      </c>
      <c r="AO4" s="297"/>
      <c r="AP4" s="297"/>
      <c r="AQ4" s="297"/>
      <c r="AR4" s="297"/>
      <c r="AS4" s="297"/>
      <c r="AT4" s="297"/>
      <c r="AU4" s="297">
        <v>1</v>
      </c>
      <c r="AV4" s="297">
        <v>24</v>
      </c>
      <c r="AW4" s="297"/>
      <c r="AX4" s="297">
        <v>200</v>
      </c>
      <c r="AY4" s="305" t="s">
        <v>571</v>
      </c>
      <c r="AZ4" s="298">
        <v>0</v>
      </c>
      <c r="BA4" s="291"/>
      <c r="BB4" s="291"/>
      <c r="BC4" s="291"/>
    </row>
    <row r="5" s="273" customFormat="1" ht="70" customHeight="1" spans="1:55">
      <c r="A5" s="51" t="s">
        <v>203</v>
      </c>
      <c r="B5" s="285" t="s">
        <v>1409</v>
      </c>
      <c r="C5" s="296" t="s">
        <v>579</v>
      </c>
      <c r="D5" s="296" t="s">
        <v>610</v>
      </c>
      <c r="E5" s="296" t="s">
        <v>577</v>
      </c>
      <c r="F5" s="296" t="s">
        <v>361</v>
      </c>
      <c r="G5" s="296" t="s">
        <v>319</v>
      </c>
      <c r="H5" s="296"/>
      <c r="I5" s="296" t="s">
        <v>769</v>
      </c>
      <c r="J5" s="303" t="s">
        <v>329</v>
      </c>
      <c r="K5" s="296" t="s">
        <v>967</v>
      </c>
      <c r="L5" s="296" t="s">
        <v>1443</v>
      </c>
      <c r="M5" s="296"/>
      <c r="N5" s="296"/>
      <c r="O5" s="296" t="s">
        <v>567</v>
      </c>
      <c r="P5" s="296" t="s">
        <v>466</v>
      </c>
      <c r="Q5" s="296" t="s">
        <v>579</v>
      </c>
      <c r="R5" s="296" t="s">
        <v>833</v>
      </c>
      <c r="S5" s="296" t="s">
        <v>953</v>
      </c>
      <c r="T5" s="296" t="s">
        <v>475</v>
      </c>
      <c r="U5" s="296"/>
      <c r="V5" s="296" t="s">
        <v>610</v>
      </c>
      <c r="W5" s="296" t="s">
        <v>406</v>
      </c>
      <c r="X5" s="296" t="s">
        <v>470</v>
      </c>
      <c r="Y5" s="296" t="s">
        <v>610</v>
      </c>
      <c r="Z5" s="296" t="s">
        <v>582</v>
      </c>
      <c r="AA5" s="296"/>
      <c r="AB5" s="296"/>
      <c r="AC5" s="304" t="s">
        <v>1444</v>
      </c>
      <c r="AD5" s="296" t="s">
        <v>853</v>
      </c>
      <c r="AE5" s="296" t="s">
        <v>575</v>
      </c>
      <c r="AF5" s="296" t="s">
        <v>577</v>
      </c>
      <c r="AG5" s="51" t="s">
        <v>203</v>
      </c>
      <c r="AH5" s="51">
        <v>24</v>
      </c>
      <c r="AI5" s="51">
        <v>22</v>
      </c>
      <c r="AJ5" s="51"/>
      <c r="AK5" s="51"/>
      <c r="AL5" s="51"/>
      <c r="AM5" s="297"/>
      <c r="AN5" s="297">
        <v>1</v>
      </c>
      <c r="AO5" s="297"/>
      <c r="AP5" s="297"/>
      <c r="AQ5" s="297"/>
      <c r="AR5" s="297"/>
      <c r="AS5" s="297"/>
      <c r="AT5" s="297"/>
      <c r="AU5" s="297">
        <v>1</v>
      </c>
      <c r="AV5" s="297">
        <v>24</v>
      </c>
      <c r="AW5" s="297"/>
      <c r="AX5" s="297">
        <v>200</v>
      </c>
      <c r="AY5" s="305" t="s">
        <v>1445</v>
      </c>
      <c r="AZ5" s="298">
        <v>0.5</v>
      </c>
      <c r="BA5" s="291"/>
      <c r="BB5" s="291"/>
      <c r="BC5" s="291"/>
    </row>
    <row r="6" s="273" customFormat="1" ht="70" customHeight="1" spans="1:55">
      <c r="A6" s="51" t="s">
        <v>201</v>
      </c>
      <c r="B6" s="285" t="s">
        <v>1446</v>
      </c>
      <c r="C6" s="303" t="s">
        <v>1447</v>
      </c>
      <c r="D6" s="303" t="s">
        <v>1448</v>
      </c>
      <c r="E6" s="303" t="s">
        <v>1449</v>
      </c>
      <c r="F6" s="303" t="s">
        <v>1450</v>
      </c>
      <c r="G6" s="296"/>
      <c r="H6" s="296"/>
      <c r="I6" s="303" t="s">
        <v>1451</v>
      </c>
      <c r="J6" s="303" t="s">
        <v>1452</v>
      </c>
      <c r="K6" s="303" t="s">
        <v>1453</v>
      </c>
      <c r="L6" s="303" t="s">
        <v>1454</v>
      </c>
      <c r="M6" s="296"/>
      <c r="N6" s="296"/>
      <c r="O6" s="303" t="s">
        <v>1455</v>
      </c>
      <c r="P6" s="303" t="s">
        <v>1456</v>
      </c>
      <c r="Q6" s="303" t="s">
        <v>1457</v>
      </c>
      <c r="R6" s="303" t="s">
        <v>1458</v>
      </c>
      <c r="S6" s="303" t="s">
        <v>1459</v>
      </c>
      <c r="T6" s="303" t="s">
        <v>1460</v>
      </c>
      <c r="U6" s="296"/>
      <c r="V6" s="303" t="s">
        <v>1461</v>
      </c>
      <c r="W6" s="303" t="s">
        <v>1462</v>
      </c>
      <c r="X6" s="303" t="s">
        <v>1463</v>
      </c>
      <c r="Y6" s="303" t="s">
        <v>1464</v>
      </c>
      <c r="Z6" s="303" t="s">
        <v>1465</v>
      </c>
      <c r="AA6" s="296"/>
      <c r="AB6" s="296"/>
      <c r="AC6" s="303" t="s">
        <v>1466</v>
      </c>
      <c r="AD6" s="303" t="s">
        <v>1467</v>
      </c>
      <c r="AE6" s="303" t="s">
        <v>1468</v>
      </c>
      <c r="AF6" s="303" t="s">
        <v>1469</v>
      </c>
      <c r="AG6" s="51" t="s">
        <v>201</v>
      </c>
      <c r="AH6" s="51">
        <v>24</v>
      </c>
      <c r="AI6" s="51">
        <v>11.5</v>
      </c>
      <c r="AJ6" s="51"/>
      <c r="AK6" s="51"/>
      <c r="AL6" s="51"/>
      <c r="AM6" s="297"/>
      <c r="AN6" s="297"/>
      <c r="AO6" s="297"/>
      <c r="AP6" s="297"/>
      <c r="AQ6" s="297"/>
      <c r="AR6" s="297"/>
      <c r="AS6" s="297"/>
      <c r="AT6" s="297"/>
      <c r="AU6" s="297"/>
      <c r="AV6" s="297">
        <v>11.5</v>
      </c>
      <c r="AW6" s="297"/>
      <c r="AX6" s="297"/>
      <c r="AY6" s="305" t="s">
        <v>1470</v>
      </c>
      <c r="AZ6" s="298">
        <v>0</v>
      </c>
      <c r="BA6" s="291"/>
      <c r="BB6" s="291"/>
      <c r="BC6" s="291"/>
    </row>
    <row r="7" s="275" customFormat="1" spans="1:55">
      <c r="B7" s="300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</row>
    <row r="8" s="275" customFormat="1" spans="1:55">
      <c r="B8" s="300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</row>
  </sheetData>
  <pageMargins left="0.25" right="0.25" top="0.75" bottom="0.75" header="0.298611111111111" footer="0.298611111111111"/>
  <pageSetup paperSize="9" scale="31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P1048576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AZ3" sqref="A1:AZ3"/>
    </sheetView>
  </sheetViews>
  <sheetFormatPr defaultColWidth="9" defaultRowHeight="14.25"/>
  <cols>
    <col min="1" max="2" width="11.5583333333333" style="275" customWidth="1"/>
    <col min="3" max="32" width="9" style="275" customWidth="1"/>
    <col min="33" max="33" width="11.5583333333333" style="275" customWidth="1"/>
    <col min="34" max="50" width="10.1333333333333" style="275" customWidth="1"/>
    <col min="51" max="51" width="37.6666666666667" style="295" customWidth="1"/>
    <col min="52" max="52" width="19.6666666666667" style="275" customWidth="1"/>
    <col min="53" max="16384" width="9" style="275"/>
  </cols>
  <sheetData>
    <row r="1" s="273" customFormat="1" ht="40" customHeight="1" spans="1:68">
      <c r="A1" s="280" t="s">
        <v>1</v>
      </c>
      <c r="B1" s="280" t="s">
        <v>4</v>
      </c>
      <c r="C1" s="280" t="s">
        <v>283</v>
      </c>
      <c r="D1" s="280" t="s">
        <v>284</v>
      </c>
      <c r="E1" s="280" t="s">
        <v>285</v>
      </c>
      <c r="F1" s="280" t="s">
        <v>286</v>
      </c>
      <c r="G1" s="280" t="s">
        <v>287</v>
      </c>
      <c r="H1" s="280" t="s">
        <v>288</v>
      </c>
      <c r="I1" s="280" t="s">
        <v>289</v>
      </c>
      <c r="J1" s="280" t="s">
        <v>290</v>
      </c>
      <c r="K1" s="280" t="s">
        <v>291</v>
      </c>
      <c r="L1" s="280" t="s">
        <v>292</v>
      </c>
      <c r="M1" s="280" t="s">
        <v>293</v>
      </c>
      <c r="N1" s="280" t="s">
        <v>294</v>
      </c>
      <c r="O1" s="280" t="s">
        <v>295</v>
      </c>
      <c r="P1" s="280" t="s">
        <v>296</v>
      </c>
      <c r="Q1" s="280" t="s">
        <v>297</v>
      </c>
      <c r="R1" s="280" t="s">
        <v>298</v>
      </c>
      <c r="S1" s="280" t="s">
        <v>299</v>
      </c>
      <c r="T1" s="280" t="s">
        <v>300</v>
      </c>
      <c r="U1" s="280" t="s">
        <v>301</v>
      </c>
      <c r="V1" s="280" t="s">
        <v>302</v>
      </c>
      <c r="W1" s="280" t="s">
        <v>303</v>
      </c>
      <c r="X1" s="280" t="s">
        <v>304</v>
      </c>
      <c r="Y1" s="280" t="s">
        <v>305</v>
      </c>
      <c r="Z1" s="280" t="s">
        <v>306</v>
      </c>
      <c r="AA1" s="280" t="s">
        <v>307</v>
      </c>
      <c r="AB1" s="280" t="s">
        <v>308</v>
      </c>
      <c r="AC1" s="280" t="s">
        <v>309</v>
      </c>
      <c r="AD1" s="280" t="s">
        <v>310</v>
      </c>
      <c r="AE1" s="280" t="s">
        <v>311</v>
      </c>
      <c r="AF1" s="280" t="s">
        <v>312</v>
      </c>
      <c r="AG1" s="281" t="s">
        <v>1</v>
      </c>
      <c r="AH1" s="282" t="s">
        <v>6</v>
      </c>
      <c r="AI1" s="282" t="s">
        <v>7</v>
      </c>
      <c r="AJ1" s="281" t="s">
        <v>8</v>
      </c>
      <c r="AK1" s="281" t="s">
        <v>9</v>
      </c>
      <c r="AL1" s="281" t="s">
        <v>10</v>
      </c>
      <c r="AM1" s="281" t="s">
        <v>11</v>
      </c>
      <c r="AN1" s="281" t="s">
        <v>12</v>
      </c>
      <c r="AO1" s="281" t="s">
        <v>13</v>
      </c>
      <c r="AP1" s="281" t="s">
        <v>14</v>
      </c>
      <c r="AQ1" s="281" t="s">
        <v>15</v>
      </c>
      <c r="AR1" s="281" t="s">
        <v>16</v>
      </c>
      <c r="AS1" s="281" t="s">
        <v>313</v>
      </c>
      <c r="AT1" s="281" t="s">
        <v>18</v>
      </c>
      <c r="AU1" s="282" t="s">
        <v>19</v>
      </c>
      <c r="AV1" s="283" t="s">
        <v>20</v>
      </c>
      <c r="AW1" s="282" t="s">
        <v>21</v>
      </c>
      <c r="AX1" s="282" t="s">
        <v>24</v>
      </c>
      <c r="AY1" s="282" t="s">
        <v>23</v>
      </c>
      <c r="AZ1" s="284" t="s">
        <v>279</v>
      </c>
    </row>
    <row r="2" s="273" customFormat="1" ht="90" customHeight="1" spans="1:68">
      <c r="A2" s="51" t="s">
        <v>245</v>
      </c>
      <c r="B2" s="51" t="s">
        <v>786</v>
      </c>
      <c r="C2" s="296" t="s">
        <v>1471</v>
      </c>
      <c r="D2" s="296" t="s">
        <v>1472</v>
      </c>
      <c r="E2" s="296" t="s">
        <v>1473</v>
      </c>
      <c r="F2" s="296" t="s">
        <v>1474</v>
      </c>
      <c r="G2" s="296" t="s">
        <v>319</v>
      </c>
      <c r="H2" s="296"/>
      <c r="I2" s="296" t="s">
        <v>1475</v>
      </c>
      <c r="J2" s="296" t="s">
        <v>1476</v>
      </c>
      <c r="K2" s="296" t="s">
        <v>1476</v>
      </c>
      <c r="L2" s="296" t="s">
        <v>1111</v>
      </c>
      <c r="M2" s="296"/>
      <c r="N2" s="296"/>
      <c r="O2" s="296" t="s">
        <v>1477</v>
      </c>
      <c r="P2" s="296" t="s">
        <v>1478</v>
      </c>
      <c r="Q2" s="296" t="s">
        <v>820</v>
      </c>
      <c r="R2" s="296" t="s">
        <v>1479</v>
      </c>
      <c r="S2" s="296" t="s">
        <v>1480</v>
      </c>
      <c r="T2" s="296" t="s">
        <v>1481</v>
      </c>
      <c r="U2" s="296"/>
      <c r="V2" s="296" t="s">
        <v>1482</v>
      </c>
      <c r="W2" s="296" t="s">
        <v>981</v>
      </c>
      <c r="X2" s="296" t="s">
        <v>1111</v>
      </c>
      <c r="Y2" s="296" t="s">
        <v>1483</v>
      </c>
      <c r="Z2" s="296" t="s">
        <v>1009</v>
      </c>
      <c r="AA2" s="296"/>
      <c r="AB2" s="296"/>
      <c r="AC2" s="296" t="s">
        <v>1484</v>
      </c>
      <c r="AD2" s="296" t="s">
        <v>1485</v>
      </c>
      <c r="AE2" s="296" t="s">
        <v>1486</v>
      </c>
      <c r="AF2" s="296" t="s">
        <v>1130</v>
      </c>
      <c r="AG2" s="51" t="s">
        <v>245</v>
      </c>
      <c r="AH2" s="51">
        <v>24</v>
      </c>
      <c r="AI2" s="51">
        <v>23</v>
      </c>
      <c r="AJ2" s="51"/>
      <c r="AK2" s="51"/>
      <c r="AL2" s="51"/>
      <c r="AM2" s="297"/>
      <c r="AN2" s="297"/>
      <c r="AO2" s="297"/>
      <c r="AP2" s="297"/>
      <c r="AQ2" s="297"/>
      <c r="AR2" s="297"/>
      <c r="AS2" s="297"/>
      <c r="AT2" s="297"/>
      <c r="AU2" s="297">
        <v>1</v>
      </c>
      <c r="AV2" s="297">
        <v>24</v>
      </c>
      <c r="AW2" s="297"/>
      <c r="AX2" s="297">
        <v>200</v>
      </c>
      <c r="AY2" s="290" t="s">
        <v>256</v>
      </c>
      <c r="AZ2" s="298">
        <v>0</v>
      </c>
      <c r="BA2" s="291"/>
      <c r="BB2" s="291"/>
      <c r="BC2" s="291"/>
      <c r="BD2" s="291"/>
    </row>
    <row r="3" s="273" customFormat="1" ht="90" customHeight="1" spans="1:68">
      <c r="A3" s="51" t="s">
        <v>242</v>
      </c>
      <c r="B3" s="51" t="s">
        <v>786</v>
      </c>
      <c r="C3" s="296" t="s">
        <v>1487</v>
      </c>
      <c r="D3" s="296" t="s">
        <v>1472</v>
      </c>
      <c r="E3" s="296" t="s">
        <v>1479</v>
      </c>
      <c r="F3" s="296" t="s">
        <v>752</v>
      </c>
      <c r="G3" s="296" t="s">
        <v>319</v>
      </c>
      <c r="H3" s="296"/>
      <c r="I3" s="296" t="s">
        <v>1488</v>
      </c>
      <c r="J3" s="296" t="s">
        <v>1489</v>
      </c>
      <c r="K3" s="296" t="s">
        <v>1490</v>
      </c>
      <c r="L3" s="296" t="s">
        <v>1491</v>
      </c>
      <c r="M3" s="296"/>
      <c r="N3" s="296"/>
      <c r="O3" s="296" t="s">
        <v>1492</v>
      </c>
      <c r="P3" s="296" t="s">
        <v>1493</v>
      </c>
      <c r="Q3" s="296" t="s">
        <v>405</v>
      </c>
      <c r="R3" s="296" t="s">
        <v>423</v>
      </c>
      <c r="S3" s="296" t="s">
        <v>651</v>
      </c>
      <c r="T3" s="296" t="s">
        <v>1494</v>
      </c>
      <c r="U3" s="296"/>
      <c r="V3" s="296" t="s">
        <v>1495</v>
      </c>
      <c r="W3" s="296" t="s">
        <v>413</v>
      </c>
      <c r="X3" s="296" t="s">
        <v>819</v>
      </c>
      <c r="Y3" s="296" t="s">
        <v>1496</v>
      </c>
      <c r="Z3" s="296" t="s">
        <v>1006</v>
      </c>
      <c r="AA3" s="296"/>
      <c r="AB3" s="296"/>
      <c r="AC3" s="296" t="s">
        <v>1497</v>
      </c>
      <c r="AD3" s="296" t="s">
        <v>1485</v>
      </c>
      <c r="AE3" s="296" t="s">
        <v>1498</v>
      </c>
      <c r="AF3" s="296" t="s">
        <v>1499</v>
      </c>
      <c r="AG3" s="51" t="s">
        <v>242</v>
      </c>
      <c r="AH3" s="51">
        <v>24</v>
      </c>
      <c r="AI3" s="51">
        <v>23</v>
      </c>
      <c r="AJ3" s="51"/>
      <c r="AK3" s="51"/>
      <c r="AL3" s="51"/>
      <c r="AM3" s="297"/>
      <c r="AN3" s="297"/>
      <c r="AO3" s="297"/>
      <c r="AP3" s="297"/>
      <c r="AQ3" s="297"/>
      <c r="AR3" s="297"/>
      <c r="AS3" s="297"/>
      <c r="AT3" s="297"/>
      <c r="AU3" s="297">
        <v>1</v>
      </c>
      <c r="AV3" s="297">
        <v>24</v>
      </c>
      <c r="AW3" s="297"/>
      <c r="AX3" s="297">
        <v>200</v>
      </c>
      <c r="AY3" s="290" t="s">
        <v>256</v>
      </c>
      <c r="AZ3" s="298">
        <v>0</v>
      </c>
      <c r="BA3" s="291"/>
      <c r="BB3" s="291"/>
      <c r="BC3" s="291"/>
      <c r="BD3" s="291"/>
    </row>
    <row r="4" s="275" customFormat="1"/>
    <row r="5" s="275" customFormat="1" spans="1:68">
      <c r="BP5" s="295"/>
    </row>
    <row r="8" s="275" customFormat="1"/>
    <row r="9" s="275" customFormat="1"/>
    <row r="1048568" s="294" customFormat="1" spans="3:32">
      <c r="C1048568" s="299"/>
      <c r="D1048568" s="299"/>
      <c r="E1048568" s="299"/>
      <c r="F1048568" s="299"/>
      <c r="G1048568" s="299"/>
      <c r="H1048568" s="299"/>
      <c r="I1048568" s="299"/>
      <c r="J1048568" s="299"/>
      <c r="K1048568" s="299"/>
      <c r="L1048568" s="299"/>
      <c r="M1048568" s="299"/>
      <c r="N1048568" s="299"/>
      <c r="O1048568" s="299"/>
      <c r="P1048568" s="299"/>
      <c r="Q1048568" s="299"/>
      <c r="R1048568" s="299"/>
      <c r="S1048568" s="299"/>
      <c r="T1048568" s="299"/>
      <c r="U1048568" s="299"/>
      <c r="V1048568" s="299"/>
      <c r="W1048568" s="299"/>
      <c r="X1048568" s="299"/>
      <c r="Y1048568" s="299"/>
      <c r="Z1048568" s="299"/>
      <c r="AA1048568" s="299"/>
      <c r="AB1048568" s="299"/>
      <c r="AC1048568" s="299"/>
      <c r="AD1048568" s="299"/>
      <c r="AE1048568" s="299"/>
      <c r="AF1048568" s="299"/>
    </row>
    <row r="1048569" s="294" customFormat="1" spans="3:32">
      <c r="C1048569" s="299"/>
      <c r="D1048569" s="299"/>
      <c r="E1048569" s="299"/>
      <c r="F1048569" s="299"/>
      <c r="G1048569" s="299"/>
      <c r="H1048569" s="299"/>
      <c r="I1048569" s="299"/>
      <c r="J1048569" s="299"/>
      <c r="K1048569" s="299"/>
      <c r="L1048569" s="299"/>
      <c r="M1048569" s="299"/>
      <c r="N1048569" s="299"/>
      <c r="O1048569" s="299"/>
      <c r="P1048569" s="299"/>
      <c r="Q1048569" s="299"/>
      <c r="R1048569" s="299"/>
      <c r="S1048569" s="299"/>
      <c r="T1048569" s="299"/>
      <c r="U1048569" s="299"/>
      <c r="V1048569" s="299"/>
      <c r="W1048569" s="299"/>
      <c r="X1048569" s="299"/>
      <c r="Y1048569" s="299"/>
      <c r="Z1048569" s="299"/>
      <c r="AA1048569" s="299"/>
      <c r="AB1048569" s="299"/>
      <c r="AC1048569" s="299"/>
      <c r="AD1048569" s="299"/>
      <c r="AE1048569" s="299"/>
      <c r="AF1048569" s="299"/>
    </row>
    <row r="1048570" s="294" customFormat="1" spans="3:32">
      <c r="C1048570" s="299"/>
      <c r="D1048570" s="299"/>
      <c r="E1048570" s="299"/>
      <c r="F1048570" s="299"/>
      <c r="G1048570" s="299"/>
      <c r="H1048570" s="299"/>
      <c r="I1048570" s="299"/>
      <c r="J1048570" s="299"/>
      <c r="K1048570" s="299"/>
      <c r="L1048570" s="299"/>
      <c r="M1048570" s="299"/>
      <c r="N1048570" s="299"/>
      <c r="O1048570" s="299"/>
      <c r="P1048570" s="299"/>
      <c r="Q1048570" s="299"/>
      <c r="R1048570" s="299"/>
      <c r="S1048570" s="299"/>
      <c r="T1048570" s="299"/>
      <c r="U1048570" s="299"/>
      <c r="V1048570" s="299"/>
      <c r="W1048570" s="299"/>
      <c r="X1048570" s="299"/>
      <c r="Y1048570" s="299"/>
      <c r="Z1048570" s="299"/>
      <c r="AA1048570" s="299"/>
      <c r="AB1048570" s="299"/>
      <c r="AC1048570" s="299"/>
      <c r="AD1048570" s="299"/>
      <c r="AE1048570" s="299"/>
      <c r="AF1048570" s="299"/>
    </row>
    <row r="1048571" s="294" customFormat="1" spans="3:32">
      <c r="C1048571" s="299"/>
      <c r="D1048571" s="299"/>
      <c r="E1048571" s="299"/>
      <c r="F1048571" s="299"/>
      <c r="G1048571" s="299"/>
      <c r="H1048571" s="299"/>
      <c r="I1048571" s="299"/>
      <c r="J1048571" s="299"/>
      <c r="K1048571" s="299"/>
      <c r="L1048571" s="299"/>
      <c r="M1048571" s="299"/>
      <c r="N1048571" s="299"/>
      <c r="O1048571" s="299"/>
      <c r="P1048571" s="299"/>
      <c r="Q1048571" s="299"/>
      <c r="R1048571" s="299"/>
      <c r="S1048571" s="299"/>
      <c r="T1048571" s="299"/>
      <c r="U1048571" s="299"/>
      <c r="V1048571" s="299"/>
      <c r="W1048571" s="299"/>
      <c r="X1048571" s="299"/>
      <c r="Y1048571" s="299"/>
      <c r="Z1048571" s="299"/>
      <c r="AA1048571" s="299"/>
      <c r="AB1048571" s="299"/>
      <c r="AC1048571" s="299"/>
      <c r="AD1048571" s="299"/>
      <c r="AE1048571" s="299"/>
      <c r="AF1048571" s="299"/>
    </row>
    <row r="1048572" s="294" customFormat="1" spans="3:32">
      <c r="C1048572" s="299"/>
      <c r="D1048572" s="299"/>
      <c r="E1048572" s="299"/>
      <c r="F1048572" s="299"/>
      <c r="G1048572" s="299"/>
      <c r="H1048572" s="299"/>
      <c r="I1048572" s="299"/>
      <c r="J1048572" s="299"/>
      <c r="K1048572" s="299"/>
      <c r="L1048572" s="299"/>
      <c r="M1048572" s="299"/>
      <c r="N1048572" s="299"/>
      <c r="O1048572" s="299"/>
      <c r="P1048572" s="299"/>
      <c r="Q1048572" s="299"/>
      <c r="R1048572" s="299"/>
      <c r="S1048572" s="299"/>
      <c r="T1048572" s="299"/>
      <c r="U1048572" s="299"/>
      <c r="V1048572" s="299"/>
      <c r="W1048572" s="299"/>
      <c r="X1048572" s="299"/>
      <c r="Y1048572" s="299"/>
      <c r="Z1048572" s="299"/>
      <c r="AA1048572" s="299"/>
      <c r="AB1048572" s="299"/>
      <c r="AC1048572" s="299"/>
      <c r="AD1048572" s="299"/>
      <c r="AE1048572" s="299"/>
      <c r="AF1048572" s="299"/>
    </row>
    <row r="1048573" s="294" customFormat="1" spans="3:32">
      <c r="C1048573" s="299"/>
      <c r="D1048573" s="299"/>
      <c r="E1048573" s="299"/>
      <c r="F1048573" s="299"/>
      <c r="G1048573" s="299"/>
      <c r="H1048573" s="299"/>
      <c r="I1048573" s="299"/>
      <c r="J1048573" s="299"/>
      <c r="K1048573" s="299"/>
      <c r="L1048573" s="299"/>
      <c r="M1048573" s="299"/>
      <c r="N1048573" s="299"/>
      <c r="O1048573" s="299"/>
      <c r="P1048573" s="299"/>
      <c r="Q1048573" s="299"/>
      <c r="R1048573" s="299"/>
      <c r="S1048573" s="299"/>
      <c r="T1048573" s="299"/>
      <c r="U1048573" s="299"/>
      <c r="V1048573" s="299"/>
      <c r="W1048573" s="299"/>
      <c r="X1048573" s="299"/>
      <c r="Y1048573" s="299"/>
      <c r="Z1048573" s="299"/>
      <c r="AA1048573" s="299"/>
      <c r="AB1048573" s="299"/>
      <c r="AC1048573" s="299"/>
      <c r="AD1048573" s="299"/>
      <c r="AE1048573" s="299"/>
      <c r="AF1048573" s="299"/>
    </row>
    <row r="1048574" s="294" customFormat="1" spans="3:32">
      <c r="C1048574" s="299"/>
      <c r="D1048574" s="299"/>
      <c r="E1048574" s="299"/>
      <c r="F1048574" s="299"/>
      <c r="G1048574" s="299"/>
      <c r="H1048574" s="299"/>
      <c r="I1048574" s="299"/>
      <c r="J1048574" s="299"/>
      <c r="K1048574" s="299"/>
      <c r="L1048574" s="299"/>
      <c r="M1048574" s="299"/>
      <c r="N1048574" s="299"/>
      <c r="O1048574" s="299"/>
      <c r="P1048574" s="299"/>
      <c r="Q1048574" s="299"/>
      <c r="R1048574" s="299"/>
      <c r="S1048574" s="299"/>
      <c r="T1048574" s="299"/>
      <c r="U1048574" s="299"/>
      <c r="V1048574" s="299"/>
      <c r="W1048574" s="299"/>
      <c r="X1048574" s="299"/>
      <c r="Y1048574" s="299"/>
      <c r="Z1048574" s="299"/>
      <c r="AA1048574" s="299"/>
      <c r="AB1048574" s="299"/>
      <c r="AC1048574" s="299"/>
      <c r="AD1048574" s="299"/>
      <c r="AE1048574" s="299"/>
      <c r="AF1048574" s="299"/>
    </row>
    <row r="1048575" s="294" customFormat="1" spans="3:32">
      <c r="C1048575" s="299"/>
      <c r="D1048575" s="299"/>
      <c r="E1048575" s="299"/>
      <c r="F1048575" s="299"/>
      <c r="G1048575" s="299"/>
      <c r="H1048575" s="299"/>
      <c r="I1048575" s="299"/>
      <c r="J1048575" s="299"/>
      <c r="K1048575" s="299"/>
      <c r="L1048575" s="299"/>
      <c r="M1048575" s="299"/>
      <c r="N1048575" s="299"/>
      <c r="O1048575" s="299"/>
      <c r="P1048575" s="299"/>
      <c r="Q1048575" s="299"/>
      <c r="R1048575" s="299"/>
      <c r="S1048575" s="299"/>
      <c r="T1048575" s="299"/>
      <c r="U1048575" s="299"/>
      <c r="V1048575" s="299"/>
      <c r="W1048575" s="299"/>
      <c r="X1048575" s="299"/>
      <c r="Y1048575" s="299"/>
      <c r="Z1048575" s="299"/>
      <c r="AA1048575" s="299"/>
      <c r="AB1048575" s="299"/>
      <c r="AC1048575" s="299"/>
      <c r="AD1048575" s="299"/>
      <c r="AE1048575" s="299"/>
      <c r="AF1048575" s="299"/>
    </row>
    <row r="1048576" s="294" customFormat="1" spans="3:32">
      <c r="C1048576" s="299"/>
      <c r="D1048576" s="299"/>
      <c r="E1048576" s="299"/>
      <c r="F1048576" s="299"/>
      <c r="G1048576" s="299"/>
      <c r="H1048576" s="299"/>
      <c r="I1048576" s="299"/>
      <c r="J1048576" s="299"/>
      <c r="K1048576" s="299"/>
      <c r="L1048576" s="299"/>
      <c r="M1048576" s="299"/>
      <c r="N1048576" s="299"/>
      <c r="O1048576" s="299"/>
      <c r="P1048576" s="299"/>
      <c r="Q1048576" s="299"/>
      <c r="R1048576" s="299"/>
      <c r="S1048576" s="299"/>
      <c r="T1048576" s="299"/>
      <c r="U1048576" s="299"/>
      <c r="V1048576" s="299"/>
      <c r="W1048576" s="299"/>
      <c r="X1048576" s="299"/>
      <c r="Y1048576" s="299"/>
      <c r="Z1048576" s="299"/>
      <c r="AA1048576" s="299"/>
      <c r="AB1048576" s="299"/>
      <c r="AC1048576" s="299"/>
      <c r="AD1048576" s="299"/>
      <c r="AE1048576" s="299"/>
      <c r="AF1048576" s="299"/>
    </row>
  </sheetData>
  <pageMargins left="0.25" right="0.25" top="0.75" bottom="0.75" header="0.298611111111111" footer="0.298611111111111"/>
  <pageSetup paperSize="9" scale="28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D2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W10" sqref="AW10"/>
    </sheetView>
  </sheetViews>
  <sheetFormatPr defaultColWidth="9" defaultRowHeight="14.25"/>
  <cols>
    <col min="1" max="1" width="15" style="273" customWidth="1"/>
    <col min="2" max="2" width="15" style="276" customWidth="1"/>
    <col min="3" max="4" width="8.625" style="274" customWidth="1"/>
    <col min="5" max="32" width="8.625" style="275" customWidth="1"/>
    <col min="33" max="33" width="15" style="277" customWidth="1"/>
    <col min="34" max="38" width="9.725" style="273" customWidth="1"/>
    <col min="39" max="50" width="9.725" style="278" customWidth="1"/>
    <col min="51" max="51" width="43.425" style="279" customWidth="1"/>
    <col min="52" max="52" width="19.3666666666667" style="277" customWidth="1"/>
    <col min="53" max="16370" width="9" style="275" customWidth="1"/>
    <col min="16371" max="16384" width="9" style="275"/>
  </cols>
  <sheetData>
    <row r="1" s="273" customFormat="1" ht="40" customHeight="1" spans="1:56">
      <c r="A1" s="280" t="s">
        <v>1</v>
      </c>
      <c r="B1" s="280" t="s">
        <v>4</v>
      </c>
      <c r="C1" s="280" t="s">
        <v>283</v>
      </c>
      <c r="D1" s="280" t="s">
        <v>284</v>
      </c>
      <c r="E1" s="280" t="s">
        <v>285</v>
      </c>
      <c r="F1" s="280" t="s">
        <v>286</v>
      </c>
      <c r="G1" s="280" t="s">
        <v>287</v>
      </c>
      <c r="H1" s="280" t="s">
        <v>288</v>
      </c>
      <c r="I1" s="280" t="s">
        <v>289</v>
      </c>
      <c r="J1" s="280" t="s">
        <v>290</v>
      </c>
      <c r="K1" s="280" t="s">
        <v>291</v>
      </c>
      <c r="L1" s="280" t="s">
        <v>292</v>
      </c>
      <c r="M1" s="280" t="s">
        <v>293</v>
      </c>
      <c r="N1" s="280" t="s">
        <v>294</v>
      </c>
      <c r="O1" s="280" t="s">
        <v>295</v>
      </c>
      <c r="P1" s="280" t="s">
        <v>296</v>
      </c>
      <c r="Q1" s="280" t="s">
        <v>297</v>
      </c>
      <c r="R1" s="280" t="s">
        <v>298</v>
      </c>
      <c r="S1" s="280" t="s">
        <v>299</v>
      </c>
      <c r="T1" s="280" t="s">
        <v>300</v>
      </c>
      <c r="U1" s="280" t="s">
        <v>301</v>
      </c>
      <c r="V1" s="280" t="s">
        <v>302</v>
      </c>
      <c r="W1" s="280" t="s">
        <v>303</v>
      </c>
      <c r="X1" s="280" t="s">
        <v>304</v>
      </c>
      <c r="Y1" s="280" t="s">
        <v>305</v>
      </c>
      <c r="Z1" s="280" t="s">
        <v>306</v>
      </c>
      <c r="AA1" s="280" t="s">
        <v>307</v>
      </c>
      <c r="AB1" s="280" t="s">
        <v>308</v>
      </c>
      <c r="AC1" s="280" t="s">
        <v>309</v>
      </c>
      <c r="AD1" s="280" t="s">
        <v>310</v>
      </c>
      <c r="AE1" s="280" t="s">
        <v>311</v>
      </c>
      <c r="AF1" s="280" t="s">
        <v>312</v>
      </c>
      <c r="AG1" s="281" t="s">
        <v>1</v>
      </c>
      <c r="AH1" s="282" t="s">
        <v>6</v>
      </c>
      <c r="AI1" s="282" t="s">
        <v>7</v>
      </c>
      <c r="AJ1" s="281" t="s">
        <v>8</v>
      </c>
      <c r="AK1" s="281" t="s">
        <v>9</v>
      </c>
      <c r="AL1" s="281" t="s">
        <v>10</v>
      </c>
      <c r="AM1" s="281" t="s">
        <v>11</v>
      </c>
      <c r="AN1" s="281" t="s">
        <v>12</v>
      </c>
      <c r="AO1" s="281" t="s">
        <v>13</v>
      </c>
      <c r="AP1" s="281" t="s">
        <v>14</v>
      </c>
      <c r="AQ1" s="281" t="s">
        <v>15</v>
      </c>
      <c r="AR1" s="281" t="s">
        <v>16</v>
      </c>
      <c r="AS1" s="281" t="s">
        <v>313</v>
      </c>
      <c r="AT1" s="281" t="s">
        <v>18</v>
      </c>
      <c r="AU1" s="282" t="s">
        <v>19</v>
      </c>
      <c r="AV1" s="283" t="s">
        <v>20</v>
      </c>
      <c r="AW1" s="282" t="s">
        <v>21</v>
      </c>
      <c r="AX1" s="282" t="s">
        <v>24</v>
      </c>
      <c r="AY1" s="282" t="s">
        <v>23</v>
      </c>
      <c r="AZ1" s="284" t="s">
        <v>279</v>
      </c>
    </row>
    <row r="2" s="274" customFormat="1" ht="70" customHeight="1" spans="1:56">
      <c r="A2" s="285" t="s">
        <v>210</v>
      </c>
      <c r="B2" s="285" t="s">
        <v>76</v>
      </c>
      <c r="C2" s="286" t="s">
        <v>549</v>
      </c>
      <c r="D2" s="286" t="s">
        <v>1500</v>
      </c>
      <c r="E2" s="286" t="s">
        <v>918</v>
      </c>
      <c r="F2" s="286" t="s">
        <v>1501</v>
      </c>
      <c r="G2" s="286" t="s">
        <v>319</v>
      </c>
      <c r="H2" s="286"/>
      <c r="I2" s="286" t="s">
        <v>1502</v>
      </c>
      <c r="J2" s="286" t="s">
        <v>1503</v>
      </c>
      <c r="K2" s="286" t="s">
        <v>1504</v>
      </c>
      <c r="L2" s="286" t="s">
        <v>1505</v>
      </c>
      <c r="M2" s="286"/>
      <c r="N2" s="286"/>
      <c r="O2" s="286" t="s">
        <v>1506</v>
      </c>
      <c r="P2" s="286" t="s">
        <v>377</v>
      </c>
      <c r="Q2" s="286" t="s">
        <v>1507</v>
      </c>
      <c r="R2" s="286" t="s">
        <v>699</v>
      </c>
      <c r="S2" s="286" t="s">
        <v>492</v>
      </c>
      <c r="T2" s="287" t="s">
        <v>1508</v>
      </c>
      <c r="U2" s="286"/>
      <c r="V2" s="286" t="s">
        <v>1509</v>
      </c>
      <c r="W2" s="286" t="s">
        <v>775</v>
      </c>
      <c r="X2" s="286" t="s">
        <v>1510</v>
      </c>
      <c r="Y2" s="286" t="s">
        <v>1511</v>
      </c>
      <c r="Z2" s="286" t="s">
        <v>1512</v>
      </c>
      <c r="AA2" s="286"/>
      <c r="AB2" s="286"/>
      <c r="AC2" s="286" t="s">
        <v>1503</v>
      </c>
      <c r="AD2" s="286" t="s">
        <v>367</v>
      </c>
      <c r="AE2" s="286" t="s">
        <v>1513</v>
      </c>
      <c r="AF2" s="286" t="s">
        <v>549</v>
      </c>
      <c r="AG2" s="285" t="s">
        <v>210</v>
      </c>
      <c r="AH2" s="288">
        <v>24</v>
      </c>
      <c r="AI2" s="288">
        <v>22.56</v>
      </c>
      <c r="AJ2" s="288"/>
      <c r="AK2" s="288"/>
      <c r="AL2" s="288"/>
      <c r="AM2" s="289"/>
      <c r="AN2" s="289">
        <v>0.44</v>
      </c>
      <c r="AO2" s="289"/>
      <c r="AP2" s="289"/>
      <c r="AQ2" s="289"/>
      <c r="AR2" s="289"/>
      <c r="AS2" s="289"/>
      <c r="AT2" s="289"/>
      <c r="AU2" s="289">
        <v>1</v>
      </c>
      <c r="AV2" s="289">
        <v>24</v>
      </c>
      <c r="AW2" s="289"/>
      <c r="AX2" s="289">
        <v>200</v>
      </c>
      <c r="AY2" s="290" t="s">
        <v>1514</v>
      </c>
      <c r="AZ2" s="288">
        <v>4</v>
      </c>
      <c r="BA2" s="291"/>
      <c r="BB2" s="291"/>
      <c r="BC2" s="291"/>
      <c r="BD2" s="291"/>
    </row>
    <row r="3" s="274" customFormat="1" ht="70" customHeight="1" spans="1:56">
      <c r="A3" s="285" t="s">
        <v>216</v>
      </c>
      <c r="B3" s="285" t="s">
        <v>1515</v>
      </c>
      <c r="C3" s="286" t="s">
        <v>1516</v>
      </c>
      <c r="D3" s="286" t="s">
        <v>1517</v>
      </c>
      <c r="E3" s="286" t="s">
        <v>963</v>
      </c>
      <c r="F3" s="286" t="s">
        <v>878</v>
      </c>
      <c r="G3" s="286" t="s">
        <v>319</v>
      </c>
      <c r="H3" s="286"/>
      <c r="I3" s="286" t="s">
        <v>1518</v>
      </c>
      <c r="J3" s="286" t="s">
        <v>492</v>
      </c>
      <c r="K3" s="286" t="s">
        <v>1519</v>
      </c>
      <c r="L3" s="286" t="s">
        <v>1397</v>
      </c>
      <c r="M3" s="286"/>
      <c r="N3" s="286"/>
      <c r="O3" s="286" t="s">
        <v>1520</v>
      </c>
      <c r="P3" s="286" t="s">
        <v>1521</v>
      </c>
      <c r="Q3" s="286" t="s">
        <v>1522</v>
      </c>
      <c r="R3" s="286" t="s">
        <v>1523</v>
      </c>
      <c r="S3" s="287" t="s">
        <v>1524</v>
      </c>
      <c r="T3" s="286" t="s">
        <v>848</v>
      </c>
      <c r="U3" s="286"/>
      <c r="V3" s="286" t="s">
        <v>1503</v>
      </c>
      <c r="W3" s="286" t="s">
        <v>1525</v>
      </c>
      <c r="X3" s="286" t="s">
        <v>1432</v>
      </c>
      <c r="Y3" s="286" t="s">
        <v>1526</v>
      </c>
      <c r="Z3" s="286" t="s">
        <v>1527</v>
      </c>
      <c r="AA3" s="286"/>
      <c r="AB3" s="286"/>
      <c r="AC3" s="286" t="s">
        <v>1528</v>
      </c>
      <c r="AD3" s="286" t="s">
        <v>1529</v>
      </c>
      <c r="AE3" s="286" t="s">
        <v>1530</v>
      </c>
      <c r="AF3" s="287" t="s">
        <v>388</v>
      </c>
      <c r="AG3" s="285" t="s">
        <v>216</v>
      </c>
      <c r="AH3" s="288">
        <v>24</v>
      </c>
      <c r="AI3" s="288">
        <v>21.56</v>
      </c>
      <c r="AJ3" s="288"/>
      <c r="AK3" s="288"/>
      <c r="AL3" s="288"/>
      <c r="AM3" s="289">
        <v>1</v>
      </c>
      <c r="AN3" s="289">
        <v>0.44</v>
      </c>
      <c r="AO3" s="289"/>
      <c r="AP3" s="289"/>
      <c r="AQ3" s="289"/>
      <c r="AR3" s="289"/>
      <c r="AS3" s="289"/>
      <c r="AT3" s="289"/>
      <c r="AU3" s="289">
        <v>1</v>
      </c>
      <c r="AV3" s="289">
        <v>23</v>
      </c>
      <c r="AW3" s="289"/>
      <c r="AX3" s="289"/>
      <c r="AY3" s="290" t="s">
        <v>1531</v>
      </c>
      <c r="AZ3" s="288">
        <v>1</v>
      </c>
      <c r="BA3" s="291"/>
      <c r="BB3" s="291"/>
      <c r="BC3" s="291"/>
      <c r="BD3" s="291"/>
    </row>
    <row r="4" s="274" customFormat="1" ht="70" customHeight="1" spans="1:56">
      <c r="A4" s="285" t="s">
        <v>205</v>
      </c>
      <c r="B4" s="285" t="s">
        <v>39</v>
      </c>
      <c r="C4" s="286" t="s">
        <v>1532</v>
      </c>
      <c r="D4" s="286" t="s">
        <v>438</v>
      </c>
      <c r="E4" s="286" t="s">
        <v>1533</v>
      </c>
      <c r="F4" s="286" t="s">
        <v>871</v>
      </c>
      <c r="G4" s="286" t="s">
        <v>319</v>
      </c>
      <c r="H4" s="286"/>
      <c r="I4" s="286" t="s">
        <v>633</v>
      </c>
      <c r="J4" s="286" t="s">
        <v>522</v>
      </c>
      <c r="K4" s="286" t="s">
        <v>1534</v>
      </c>
      <c r="L4" s="286" t="s">
        <v>1383</v>
      </c>
      <c r="M4" s="286"/>
      <c r="N4" s="286"/>
      <c r="O4" s="286" t="s">
        <v>1535</v>
      </c>
      <c r="P4" s="286" t="s">
        <v>1536</v>
      </c>
      <c r="Q4" s="286" t="s">
        <v>1537</v>
      </c>
      <c r="R4" s="286" t="s">
        <v>1538</v>
      </c>
      <c r="S4" s="286" t="s">
        <v>436</v>
      </c>
      <c r="T4" s="286" t="s">
        <v>879</v>
      </c>
      <c r="U4" s="286"/>
      <c r="V4" s="286" t="s">
        <v>1539</v>
      </c>
      <c r="W4" s="286" t="s">
        <v>1540</v>
      </c>
      <c r="X4" s="286" t="s">
        <v>1541</v>
      </c>
      <c r="Y4" s="286" t="s">
        <v>402</v>
      </c>
      <c r="Z4" s="286" t="s">
        <v>1542</v>
      </c>
      <c r="AA4" s="286"/>
      <c r="AB4" s="286"/>
      <c r="AC4" s="287" t="s">
        <v>1543</v>
      </c>
      <c r="AD4" s="286" t="s">
        <v>683</v>
      </c>
      <c r="AE4" s="286" t="s">
        <v>1544</v>
      </c>
      <c r="AF4" s="286" t="s">
        <v>581</v>
      </c>
      <c r="AG4" s="285" t="s">
        <v>205</v>
      </c>
      <c r="AH4" s="288">
        <v>24</v>
      </c>
      <c r="AI4" s="288">
        <v>22.56</v>
      </c>
      <c r="AJ4" s="288"/>
      <c r="AK4" s="288"/>
      <c r="AL4" s="288"/>
      <c r="AM4" s="289"/>
      <c r="AN4" s="289">
        <v>0.44</v>
      </c>
      <c r="AO4" s="289"/>
      <c r="AP4" s="289"/>
      <c r="AQ4" s="289"/>
      <c r="AR4" s="289"/>
      <c r="AS4" s="289"/>
      <c r="AT4" s="289"/>
      <c r="AU4" s="289">
        <v>1</v>
      </c>
      <c r="AV4" s="289">
        <v>24</v>
      </c>
      <c r="AW4" s="289"/>
      <c r="AX4" s="289">
        <v>200</v>
      </c>
      <c r="AY4" s="290" t="s">
        <v>1545</v>
      </c>
      <c r="AZ4" s="288">
        <v>7.5</v>
      </c>
      <c r="BA4" s="291"/>
      <c r="BB4" s="291"/>
      <c r="BC4" s="291"/>
      <c r="BD4" s="291"/>
    </row>
    <row r="5" s="274" customFormat="1" ht="70" customHeight="1" spans="1:56">
      <c r="A5" s="285" t="s">
        <v>225</v>
      </c>
      <c r="B5" s="285" t="s">
        <v>1515</v>
      </c>
      <c r="C5" s="286" t="s">
        <v>1492</v>
      </c>
      <c r="D5" s="286" t="s">
        <v>1546</v>
      </c>
      <c r="E5" s="286" t="s">
        <v>863</v>
      </c>
      <c r="F5" s="286" t="s">
        <v>869</v>
      </c>
      <c r="G5" s="286" t="s">
        <v>319</v>
      </c>
      <c r="H5" s="286"/>
      <c r="I5" s="286" t="s">
        <v>1547</v>
      </c>
      <c r="J5" s="286" t="s">
        <v>351</v>
      </c>
      <c r="K5" s="286" t="s">
        <v>364</v>
      </c>
      <c r="L5" s="286" t="s">
        <v>1004</v>
      </c>
      <c r="M5" s="286"/>
      <c r="N5" s="286"/>
      <c r="O5" s="286" t="s">
        <v>1004</v>
      </c>
      <c r="P5" s="286" t="s">
        <v>1548</v>
      </c>
      <c r="Q5" s="286" t="s">
        <v>1548</v>
      </c>
      <c r="R5" s="286" t="s">
        <v>401</v>
      </c>
      <c r="S5" s="286" t="s">
        <v>1549</v>
      </c>
      <c r="T5" s="286" t="s">
        <v>1430</v>
      </c>
      <c r="U5" s="286"/>
      <c r="V5" s="286" t="s">
        <v>1550</v>
      </c>
      <c r="W5" s="286" t="s">
        <v>965</v>
      </c>
      <c r="X5" s="286" t="s">
        <v>1551</v>
      </c>
      <c r="Y5" s="286" t="s">
        <v>1523</v>
      </c>
      <c r="Z5" s="286" t="s">
        <v>1552</v>
      </c>
      <c r="AA5" s="286"/>
      <c r="AB5" s="286"/>
      <c r="AC5" s="286" t="s">
        <v>964</v>
      </c>
      <c r="AD5" s="286" t="s">
        <v>1553</v>
      </c>
      <c r="AE5" s="286" t="s">
        <v>351</v>
      </c>
      <c r="AF5" s="286" t="s">
        <v>1372</v>
      </c>
      <c r="AG5" s="285" t="s">
        <v>225</v>
      </c>
      <c r="AH5" s="288">
        <v>24</v>
      </c>
      <c r="AI5" s="288">
        <v>23</v>
      </c>
      <c r="AJ5" s="288"/>
      <c r="AK5" s="288"/>
      <c r="AL5" s="288"/>
      <c r="AM5" s="289"/>
      <c r="AN5" s="289"/>
      <c r="AO5" s="289"/>
      <c r="AP5" s="289"/>
      <c r="AQ5" s="289"/>
      <c r="AR5" s="289"/>
      <c r="AS5" s="289"/>
      <c r="AT5" s="289"/>
      <c r="AU5" s="289">
        <v>1</v>
      </c>
      <c r="AV5" s="289">
        <v>24</v>
      </c>
      <c r="AW5" s="289"/>
      <c r="AX5" s="289">
        <v>200</v>
      </c>
      <c r="AY5" s="290" t="s">
        <v>256</v>
      </c>
      <c r="AZ5" s="288">
        <v>0</v>
      </c>
      <c r="BA5" s="291"/>
      <c r="BB5" s="291"/>
      <c r="BC5" s="291"/>
      <c r="BD5" s="291"/>
    </row>
    <row r="6" s="274" customFormat="1" ht="70" customHeight="1" spans="1:56">
      <c r="A6" s="285" t="s">
        <v>219</v>
      </c>
      <c r="B6" s="285" t="s">
        <v>1515</v>
      </c>
      <c r="C6" s="286" t="s">
        <v>1554</v>
      </c>
      <c r="D6" s="286" t="s">
        <v>993</v>
      </c>
      <c r="E6" s="286" t="s">
        <v>1555</v>
      </c>
      <c r="F6" s="286" t="s">
        <v>1099</v>
      </c>
      <c r="G6" s="286" t="s">
        <v>319</v>
      </c>
      <c r="H6" s="286"/>
      <c r="I6" s="286" t="s">
        <v>1556</v>
      </c>
      <c r="J6" s="286" t="s">
        <v>1557</v>
      </c>
      <c r="K6" s="286" t="s">
        <v>1558</v>
      </c>
      <c r="L6" s="286" t="s">
        <v>1552</v>
      </c>
      <c r="M6" s="286"/>
      <c r="N6" s="286"/>
      <c r="O6" s="286" t="s">
        <v>951</v>
      </c>
      <c r="P6" s="286" t="s">
        <v>964</v>
      </c>
      <c r="Q6" s="286" t="s">
        <v>1559</v>
      </c>
      <c r="R6" s="286" t="s">
        <v>815</v>
      </c>
      <c r="S6" s="286" t="s">
        <v>971</v>
      </c>
      <c r="T6" s="286" t="s">
        <v>1560</v>
      </c>
      <c r="U6" s="286"/>
      <c r="V6" s="286" t="s">
        <v>405</v>
      </c>
      <c r="W6" s="286" t="s">
        <v>1561</v>
      </c>
      <c r="X6" s="286" t="s">
        <v>815</v>
      </c>
      <c r="Y6" s="286" t="s">
        <v>973</v>
      </c>
      <c r="Z6" s="286" t="s">
        <v>1562</v>
      </c>
      <c r="AA6" s="286"/>
      <c r="AB6" s="286"/>
      <c r="AC6" s="286" t="s">
        <v>1563</v>
      </c>
      <c r="AD6" s="286" t="s">
        <v>1564</v>
      </c>
      <c r="AE6" s="286" t="s">
        <v>1565</v>
      </c>
      <c r="AF6" s="286" t="s">
        <v>980</v>
      </c>
      <c r="AG6" s="285" t="s">
        <v>219</v>
      </c>
      <c r="AH6" s="288">
        <v>24</v>
      </c>
      <c r="AI6" s="288">
        <v>23</v>
      </c>
      <c r="AJ6" s="288"/>
      <c r="AK6" s="288"/>
      <c r="AL6" s="288"/>
      <c r="AM6" s="289"/>
      <c r="AN6" s="289"/>
      <c r="AO6" s="289"/>
      <c r="AP6" s="289"/>
      <c r="AQ6" s="289"/>
      <c r="AR6" s="289"/>
      <c r="AS6" s="289"/>
      <c r="AT6" s="289"/>
      <c r="AU6" s="289">
        <v>1</v>
      </c>
      <c r="AV6" s="289">
        <v>24</v>
      </c>
      <c r="AW6" s="289"/>
      <c r="AX6" s="289">
        <v>200</v>
      </c>
      <c r="AY6" s="290" t="s">
        <v>256</v>
      </c>
      <c r="AZ6" s="288">
        <v>0.5</v>
      </c>
      <c r="BA6" s="291"/>
      <c r="BB6" s="291"/>
      <c r="BC6" s="291"/>
      <c r="BD6" s="291"/>
    </row>
    <row r="7" s="274" customFormat="1" ht="70" customHeight="1" spans="1:56">
      <c r="A7" s="285" t="s">
        <v>221</v>
      </c>
      <c r="B7" s="285" t="s">
        <v>1515</v>
      </c>
      <c r="C7" s="286" t="s">
        <v>1566</v>
      </c>
      <c r="D7" s="286" t="s">
        <v>1083</v>
      </c>
      <c r="E7" s="286" t="s">
        <v>1567</v>
      </c>
      <c r="F7" s="286" t="s">
        <v>956</v>
      </c>
      <c r="G7" s="286" t="s">
        <v>319</v>
      </c>
      <c r="H7" s="286"/>
      <c r="I7" s="286" t="s">
        <v>961</v>
      </c>
      <c r="J7" s="286" t="s">
        <v>1568</v>
      </c>
      <c r="K7" s="286" t="s">
        <v>1569</v>
      </c>
      <c r="L7" s="292" t="s">
        <v>1570</v>
      </c>
      <c r="M7" s="286"/>
      <c r="N7" s="286"/>
      <c r="O7" s="286" t="s">
        <v>1571</v>
      </c>
      <c r="P7" s="286" t="s">
        <v>366</v>
      </c>
      <c r="Q7" s="286" t="s">
        <v>835</v>
      </c>
      <c r="R7" s="286" t="s">
        <v>925</v>
      </c>
      <c r="S7" s="286" t="s">
        <v>331</v>
      </c>
      <c r="T7" s="286" t="s">
        <v>1572</v>
      </c>
      <c r="U7" s="286"/>
      <c r="V7" s="286" t="s">
        <v>1539</v>
      </c>
      <c r="W7" s="286" t="s">
        <v>883</v>
      </c>
      <c r="X7" s="286" t="s">
        <v>830</v>
      </c>
      <c r="Y7" s="286" t="s">
        <v>960</v>
      </c>
      <c r="Z7" s="286" t="s">
        <v>377</v>
      </c>
      <c r="AA7" s="286"/>
      <c r="AB7" s="286"/>
      <c r="AC7" s="286" t="s">
        <v>1573</v>
      </c>
      <c r="AD7" s="286" t="s">
        <v>629</v>
      </c>
      <c r="AE7" s="292" t="s">
        <v>1574</v>
      </c>
      <c r="AF7" s="287" t="s">
        <v>1575</v>
      </c>
      <c r="AG7" s="285" t="s">
        <v>221</v>
      </c>
      <c r="AH7" s="288">
        <v>24</v>
      </c>
      <c r="AI7" s="288">
        <v>22.44</v>
      </c>
      <c r="AJ7" s="288">
        <v>8</v>
      </c>
      <c r="AK7" s="288"/>
      <c r="AL7" s="288"/>
      <c r="AM7" s="289">
        <v>0.56</v>
      </c>
      <c r="AN7" s="289"/>
      <c r="AO7" s="289"/>
      <c r="AP7" s="289"/>
      <c r="AQ7" s="289"/>
      <c r="AR7" s="289"/>
      <c r="AS7" s="289"/>
      <c r="AT7" s="289"/>
      <c r="AU7" s="289">
        <v>1</v>
      </c>
      <c r="AV7" s="289">
        <v>23.44</v>
      </c>
      <c r="AW7" s="289"/>
      <c r="AX7" s="289"/>
      <c r="AY7" s="290" t="s">
        <v>1576</v>
      </c>
      <c r="AZ7" s="288">
        <v>0.5</v>
      </c>
      <c r="BA7" s="291"/>
      <c r="BB7" s="291"/>
      <c r="BC7" s="291"/>
      <c r="BD7" s="291"/>
    </row>
    <row r="8" s="274" customFormat="1" ht="70" customHeight="1" spans="1:56">
      <c r="A8" s="285" t="s">
        <v>223</v>
      </c>
      <c r="B8" s="285" t="s">
        <v>1515</v>
      </c>
      <c r="C8" s="286" t="s">
        <v>1542</v>
      </c>
      <c r="D8" s="286" t="s">
        <v>1519</v>
      </c>
      <c r="E8" s="286" t="s">
        <v>1577</v>
      </c>
      <c r="F8" s="286" t="s">
        <v>1578</v>
      </c>
      <c r="G8" s="286" t="s">
        <v>319</v>
      </c>
      <c r="H8" s="286"/>
      <c r="I8" s="286" t="s">
        <v>492</v>
      </c>
      <c r="J8" s="286" t="s">
        <v>563</v>
      </c>
      <c r="K8" s="286" t="s">
        <v>1516</v>
      </c>
      <c r="L8" s="286" t="s">
        <v>1527</v>
      </c>
      <c r="M8" s="286"/>
      <c r="N8" s="286"/>
      <c r="O8" s="286" t="s">
        <v>1579</v>
      </c>
      <c r="P8" s="286" t="s">
        <v>1580</v>
      </c>
      <c r="Q8" s="286" t="s">
        <v>374</v>
      </c>
      <c r="R8" s="286" t="s">
        <v>375</v>
      </c>
      <c r="S8" s="286" t="s">
        <v>1581</v>
      </c>
      <c r="T8" s="286" t="s">
        <v>1077</v>
      </c>
      <c r="U8" s="286"/>
      <c r="V8" s="286" t="s">
        <v>698</v>
      </c>
      <c r="W8" s="286" t="s">
        <v>1582</v>
      </c>
      <c r="X8" s="286" t="s">
        <v>1582</v>
      </c>
      <c r="Y8" s="286" t="s">
        <v>378</v>
      </c>
      <c r="Z8" s="286" t="s">
        <v>919</v>
      </c>
      <c r="AA8" s="286"/>
      <c r="AB8" s="286"/>
      <c r="AC8" s="287" t="s">
        <v>329</v>
      </c>
      <c r="AD8" s="286" t="s">
        <v>1583</v>
      </c>
      <c r="AE8" s="286" t="s">
        <v>1584</v>
      </c>
      <c r="AF8" s="286" t="s">
        <v>1585</v>
      </c>
      <c r="AG8" s="285" t="s">
        <v>223</v>
      </c>
      <c r="AH8" s="288">
        <v>24</v>
      </c>
      <c r="AI8" s="288">
        <v>22</v>
      </c>
      <c r="AJ8" s="288"/>
      <c r="AK8" s="288"/>
      <c r="AL8" s="288"/>
      <c r="AM8" s="289"/>
      <c r="AN8" s="289">
        <v>1</v>
      </c>
      <c r="AO8" s="289"/>
      <c r="AP8" s="289"/>
      <c r="AQ8" s="289"/>
      <c r="AR8" s="289"/>
      <c r="AS8" s="289"/>
      <c r="AT8" s="289"/>
      <c r="AU8" s="289">
        <v>1</v>
      </c>
      <c r="AV8" s="289">
        <v>24</v>
      </c>
      <c r="AW8" s="289"/>
      <c r="AX8" s="289">
        <v>200</v>
      </c>
      <c r="AY8" s="290" t="s">
        <v>1586</v>
      </c>
      <c r="AZ8" s="288">
        <v>2.5</v>
      </c>
      <c r="BA8" s="291"/>
      <c r="BB8" s="291"/>
      <c r="BC8" s="291"/>
      <c r="BD8" s="291"/>
    </row>
    <row r="9" s="274" customFormat="1" ht="70" customHeight="1" spans="1:56">
      <c r="A9" s="285" t="s">
        <v>214</v>
      </c>
      <c r="B9" s="285" t="s">
        <v>57</v>
      </c>
      <c r="C9" s="286" t="s">
        <v>1587</v>
      </c>
      <c r="D9" s="286" t="s">
        <v>1083</v>
      </c>
      <c r="E9" s="286" t="s">
        <v>617</v>
      </c>
      <c r="F9" s="286" t="s">
        <v>865</v>
      </c>
      <c r="G9" s="286" t="s">
        <v>319</v>
      </c>
      <c r="H9" s="286"/>
      <c r="I9" s="286" t="s">
        <v>1098</v>
      </c>
      <c r="J9" s="286" t="s">
        <v>1588</v>
      </c>
      <c r="K9" s="286" t="s">
        <v>1589</v>
      </c>
      <c r="L9" s="286" t="s">
        <v>1590</v>
      </c>
      <c r="M9" s="286"/>
      <c r="N9" s="286"/>
      <c r="O9" s="286" t="s">
        <v>633</v>
      </c>
      <c r="P9" s="286" t="s">
        <v>1591</v>
      </c>
      <c r="Q9" s="286" t="s">
        <v>1592</v>
      </c>
      <c r="R9" s="286" t="s">
        <v>1593</v>
      </c>
      <c r="S9" s="286" t="s">
        <v>1594</v>
      </c>
      <c r="T9" s="286" t="s">
        <v>896</v>
      </c>
      <c r="U9" s="286"/>
      <c r="V9" s="286" t="s">
        <v>647</v>
      </c>
      <c r="W9" s="286" t="s">
        <v>650</v>
      </c>
      <c r="X9" s="286" t="s">
        <v>1595</v>
      </c>
      <c r="Y9" s="286" t="s">
        <v>1596</v>
      </c>
      <c r="Z9" s="286" t="s">
        <v>919</v>
      </c>
      <c r="AA9" s="286"/>
      <c r="AB9" s="286"/>
      <c r="AC9" s="287" t="s">
        <v>1597</v>
      </c>
      <c r="AD9" s="286" t="s">
        <v>1598</v>
      </c>
      <c r="AE9" s="286" t="s">
        <v>1599</v>
      </c>
      <c r="AF9" s="286" t="s">
        <v>572</v>
      </c>
      <c r="AG9" s="285" t="s">
        <v>214</v>
      </c>
      <c r="AH9" s="288">
        <v>24</v>
      </c>
      <c r="AI9" s="288">
        <v>22.44</v>
      </c>
      <c r="AJ9" s="288"/>
      <c r="AK9" s="288"/>
      <c r="AL9" s="288"/>
      <c r="AM9" s="289"/>
      <c r="AN9" s="289">
        <v>0.56</v>
      </c>
      <c r="AO9" s="289"/>
      <c r="AP9" s="289"/>
      <c r="AQ9" s="289"/>
      <c r="AR9" s="289"/>
      <c r="AS9" s="289"/>
      <c r="AT9" s="289"/>
      <c r="AU9" s="289">
        <v>1</v>
      </c>
      <c r="AV9" s="289">
        <v>24</v>
      </c>
      <c r="AW9" s="289"/>
      <c r="AX9" s="289">
        <v>200</v>
      </c>
      <c r="AY9" s="290" t="s">
        <v>1600</v>
      </c>
      <c r="AZ9" s="288">
        <v>21.5</v>
      </c>
      <c r="BA9" s="291"/>
      <c r="BB9" s="291"/>
      <c r="BC9" s="291"/>
      <c r="BD9" s="291"/>
    </row>
    <row r="10" s="274" customFormat="1" ht="70" customHeight="1" spans="1:56">
      <c r="A10" s="285" t="s">
        <v>212</v>
      </c>
      <c r="B10" s="285" t="s">
        <v>57</v>
      </c>
      <c r="C10" s="286" t="s">
        <v>1601</v>
      </c>
      <c r="D10" s="287" t="s">
        <v>329</v>
      </c>
      <c r="E10" s="286" t="s">
        <v>924</v>
      </c>
      <c r="F10" s="292" t="s">
        <v>1602</v>
      </c>
      <c r="G10" s="286" t="s">
        <v>319</v>
      </c>
      <c r="H10" s="286"/>
      <c r="I10" s="292" t="s">
        <v>1603</v>
      </c>
      <c r="J10" s="292" t="s">
        <v>1604</v>
      </c>
      <c r="K10" s="286" t="s">
        <v>1028</v>
      </c>
      <c r="L10" s="286" t="s">
        <v>865</v>
      </c>
      <c r="M10" s="286"/>
      <c r="N10" s="286"/>
      <c r="O10" s="286" t="s">
        <v>472</v>
      </c>
      <c r="P10" s="286" t="s">
        <v>881</v>
      </c>
      <c r="Q10" s="286" t="s">
        <v>522</v>
      </c>
      <c r="R10" s="286" t="s">
        <v>851</v>
      </c>
      <c r="S10" s="286" t="s">
        <v>364</v>
      </c>
      <c r="T10" s="287" t="s">
        <v>388</v>
      </c>
      <c r="U10" s="286"/>
      <c r="V10" s="286" t="s">
        <v>769</v>
      </c>
      <c r="W10" s="292" t="s">
        <v>1605</v>
      </c>
      <c r="X10" s="286" t="s">
        <v>564</v>
      </c>
      <c r="Y10" s="286" t="s">
        <v>579</v>
      </c>
      <c r="Z10" s="286" t="s">
        <v>1511</v>
      </c>
      <c r="AA10" s="286"/>
      <c r="AB10" s="286"/>
      <c r="AC10" s="286" t="s">
        <v>796</v>
      </c>
      <c r="AD10" s="286" t="s">
        <v>472</v>
      </c>
      <c r="AE10" s="286" t="s">
        <v>924</v>
      </c>
      <c r="AF10" s="286" t="s">
        <v>778</v>
      </c>
      <c r="AG10" s="285" t="s">
        <v>212</v>
      </c>
      <c r="AH10" s="288">
        <v>24</v>
      </c>
      <c r="AI10" s="288">
        <v>21</v>
      </c>
      <c r="AJ10" s="288"/>
      <c r="AK10" s="288">
        <v>4</v>
      </c>
      <c r="AL10" s="288"/>
      <c r="AM10" s="289">
        <v>1</v>
      </c>
      <c r="AN10" s="289">
        <v>1</v>
      </c>
      <c r="AO10" s="289"/>
      <c r="AP10" s="289"/>
      <c r="AQ10" s="289"/>
      <c r="AR10" s="289"/>
      <c r="AS10" s="289"/>
      <c r="AT10" s="289"/>
      <c r="AU10" s="289">
        <v>1</v>
      </c>
      <c r="AV10" s="289">
        <v>23</v>
      </c>
      <c r="AW10" s="293">
        <v>50</v>
      </c>
      <c r="AX10" s="289"/>
      <c r="AY10" s="290" t="s">
        <v>1606</v>
      </c>
      <c r="AZ10" s="288">
        <v>0</v>
      </c>
      <c r="BA10" s="291"/>
      <c r="BB10" s="291"/>
      <c r="BC10" s="291"/>
      <c r="BD10" s="291"/>
    </row>
    <row r="11" s="274" customFormat="1" ht="70" customHeight="1" spans="1:56">
      <c r="A11" s="285" t="s">
        <v>236</v>
      </c>
      <c r="B11" s="285" t="s">
        <v>1607</v>
      </c>
      <c r="C11" s="286" t="s">
        <v>1608</v>
      </c>
      <c r="D11" s="286" t="s">
        <v>865</v>
      </c>
      <c r="E11" s="286" t="s">
        <v>1609</v>
      </c>
      <c r="F11" s="286" t="s">
        <v>1610</v>
      </c>
      <c r="G11" s="286" t="s">
        <v>319</v>
      </c>
      <c r="H11" s="286"/>
      <c r="I11" s="286" t="s">
        <v>433</v>
      </c>
      <c r="J11" s="286" t="s">
        <v>1611</v>
      </c>
      <c r="K11" s="286" t="s">
        <v>628</v>
      </c>
      <c r="L11" s="286" t="s">
        <v>933</v>
      </c>
      <c r="M11" s="286"/>
      <c r="N11" s="286"/>
      <c r="O11" s="286" t="s">
        <v>1612</v>
      </c>
      <c r="P11" s="286" t="s">
        <v>1525</v>
      </c>
      <c r="Q11" s="286" t="s">
        <v>1613</v>
      </c>
      <c r="R11" s="286" t="s">
        <v>1614</v>
      </c>
      <c r="S11" s="286" t="s">
        <v>1544</v>
      </c>
      <c r="T11" s="286" t="s">
        <v>1615</v>
      </c>
      <c r="U11" s="286"/>
      <c r="V11" s="286" t="s">
        <v>1616</v>
      </c>
      <c r="W11" s="286" t="s">
        <v>1591</v>
      </c>
      <c r="X11" s="286" t="s">
        <v>1617</v>
      </c>
      <c r="Y11" s="286" t="s">
        <v>894</v>
      </c>
      <c r="Z11" s="286" t="s">
        <v>1618</v>
      </c>
      <c r="AA11" s="286"/>
      <c r="AB11" s="286"/>
      <c r="AC11" s="286" t="s">
        <v>1619</v>
      </c>
      <c r="AD11" s="286" t="s">
        <v>1620</v>
      </c>
      <c r="AE11" s="286" t="s">
        <v>1621</v>
      </c>
      <c r="AF11" s="286" t="s">
        <v>1622</v>
      </c>
      <c r="AG11" s="285" t="s">
        <v>236</v>
      </c>
      <c r="AH11" s="288">
        <v>24</v>
      </c>
      <c r="AI11" s="288">
        <v>23</v>
      </c>
      <c r="AJ11" s="288"/>
      <c r="AK11" s="288"/>
      <c r="AL11" s="288"/>
      <c r="AM11" s="289"/>
      <c r="AN11" s="289"/>
      <c r="AO11" s="289"/>
      <c r="AP11" s="289"/>
      <c r="AQ11" s="289"/>
      <c r="AR11" s="289"/>
      <c r="AS11" s="289"/>
      <c r="AT11" s="289"/>
      <c r="AU11" s="289">
        <v>1</v>
      </c>
      <c r="AV11" s="289">
        <v>24</v>
      </c>
      <c r="AW11" s="289"/>
      <c r="AX11" s="289">
        <v>200</v>
      </c>
      <c r="AY11" s="290" t="s">
        <v>256</v>
      </c>
      <c r="AZ11" s="288">
        <v>21.5</v>
      </c>
      <c r="BA11" s="291"/>
      <c r="BB11" s="291"/>
      <c r="BC11" s="291"/>
      <c r="BD11" s="291"/>
    </row>
    <row r="12" s="274" customFormat="1" ht="70" customHeight="1" spans="1:56">
      <c r="A12" s="285" t="s">
        <v>233</v>
      </c>
      <c r="B12" s="285" t="s">
        <v>1607</v>
      </c>
      <c r="C12" s="286" t="s">
        <v>1623</v>
      </c>
      <c r="D12" s="286" t="s">
        <v>579</v>
      </c>
      <c r="E12" s="286" t="s">
        <v>1624</v>
      </c>
      <c r="F12" s="286" t="s">
        <v>1047</v>
      </c>
      <c r="G12" s="286" t="s">
        <v>319</v>
      </c>
      <c r="H12" s="286"/>
      <c r="I12" s="286" t="s">
        <v>1625</v>
      </c>
      <c r="J12" s="286" t="s">
        <v>1548</v>
      </c>
      <c r="K12" s="286" t="s">
        <v>1622</v>
      </c>
      <c r="L12" s="286" t="s">
        <v>717</v>
      </c>
      <c r="M12" s="286"/>
      <c r="N12" s="286"/>
      <c r="O12" s="287" t="s">
        <v>1626</v>
      </c>
      <c r="P12" s="286" t="s">
        <v>351</v>
      </c>
      <c r="Q12" s="286" t="s">
        <v>1627</v>
      </c>
      <c r="R12" s="286" t="s">
        <v>1628</v>
      </c>
      <c r="S12" s="286" t="s">
        <v>1629</v>
      </c>
      <c r="T12" s="286" t="s">
        <v>1630</v>
      </c>
      <c r="U12" s="286"/>
      <c r="V12" s="286" t="s">
        <v>866</v>
      </c>
      <c r="W12" s="286" t="s">
        <v>902</v>
      </c>
      <c r="X12" s="286" t="s">
        <v>1631</v>
      </c>
      <c r="Y12" s="286" t="s">
        <v>587</v>
      </c>
      <c r="Z12" s="286" t="s">
        <v>968</v>
      </c>
      <c r="AA12" s="286"/>
      <c r="AB12" s="286"/>
      <c r="AC12" s="286" t="s">
        <v>1058</v>
      </c>
      <c r="AD12" s="287" t="s">
        <v>1632</v>
      </c>
      <c r="AE12" s="286" t="s">
        <v>1019</v>
      </c>
      <c r="AF12" s="286" t="s">
        <v>810</v>
      </c>
      <c r="AG12" s="285" t="s">
        <v>233</v>
      </c>
      <c r="AH12" s="288">
        <v>24</v>
      </c>
      <c r="AI12" s="288">
        <v>22.12</v>
      </c>
      <c r="AJ12" s="288"/>
      <c r="AK12" s="288"/>
      <c r="AL12" s="288"/>
      <c r="AM12" s="289"/>
      <c r="AN12" s="289">
        <v>0.88</v>
      </c>
      <c r="AO12" s="289"/>
      <c r="AP12" s="289"/>
      <c r="AQ12" s="289"/>
      <c r="AR12" s="289"/>
      <c r="AS12" s="289"/>
      <c r="AT12" s="289"/>
      <c r="AU12" s="289">
        <v>1</v>
      </c>
      <c r="AV12" s="289">
        <v>24</v>
      </c>
      <c r="AW12" s="289"/>
      <c r="AX12" s="289">
        <v>200</v>
      </c>
      <c r="AY12" s="290" t="s">
        <v>1633</v>
      </c>
      <c r="AZ12" s="288">
        <v>2.5</v>
      </c>
      <c r="BA12" s="291"/>
      <c r="BB12" s="291"/>
      <c r="BC12" s="291"/>
      <c r="BD12" s="291"/>
    </row>
    <row r="13" s="274" customFormat="1" ht="70" customHeight="1" spans="1:56">
      <c r="A13" s="285" t="s">
        <v>229</v>
      </c>
      <c r="B13" s="285" t="s">
        <v>1634</v>
      </c>
      <c r="C13" s="286" t="s">
        <v>960</v>
      </c>
      <c r="D13" s="286" t="s">
        <v>804</v>
      </c>
      <c r="E13" s="286" t="s">
        <v>371</v>
      </c>
      <c r="F13" s="286" t="s">
        <v>466</v>
      </c>
      <c r="G13" s="286" t="s">
        <v>319</v>
      </c>
      <c r="H13" s="286"/>
      <c r="I13" s="286" t="s">
        <v>1077</v>
      </c>
      <c r="J13" s="286" t="s">
        <v>466</v>
      </c>
      <c r="K13" s="286" t="s">
        <v>576</v>
      </c>
      <c r="L13" s="286" t="s">
        <v>1635</v>
      </c>
      <c r="M13" s="286"/>
      <c r="N13" s="286"/>
      <c r="O13" s="286" t="s">
        <v>804</v>
      </c>
      <c r="P13" s="292" t="s">
        <v>1636</v>
      </c>
      <c r="Q13" s="286" t="s">
        <v>804</v>
      </c>
      <c r="R13" s="286" t="s">
        <v>610</v>
      </c>
      <c r="S13" s="292" t="s">
        <v>1637</v>
      </c>
      <c r="T13" s="286" t="s">
        <v>774</v>
      </c>
      <c r="U13" s="286"/>
      <c r="V13" s="286" t="s">
        <v>835</v>
      </c>
      <c r="W13" s="286" t="s">
        <v>1566</v>
      </c>
      <c r="X13" s="286" t="s">
        <v>919</v>
      </c>
      <c r="Y13" s="286" t="s">
        <v>1407</v>
      </c>
      <c r="Z13" s="292" t="s">
        <v>1402</v>
      </c>
      <c r="AA13" s="286"/>
      <c r="AB13" s="286"/>
      <c r="AC13" s="286" t="s">
        <v>1407</v>
      </c>
      <c r="AD13" s="287" t="s">
        <v>388</v>
      </c>
      <c r="AE13" s="287" t="s">
        <v>388</v>
      </c>
      <c r="AF13" s="287" t="s">
        <v>388</v>
      </c>
      <c r="AG13" s="285" t="s">
        <v>229</v>
      </c>
      <c r="AH13" s="288">
        <v>24</v>
      </c>
      <c r="AI13" s="288">
        <v>20</v>
      </c>
      <c r="AJ13" s="288">
        <v>4</v>
      </c>
      <c r="AK13" s="288"/>
      <c r="AL13" s="288"/>
      <c r="AM13" s="289">
        <v>3</v>
      </c>
      <c r="AN13" s="289"/>
      <c r="AO13" s="289"/>
      <c r="AP13" s="289"/>
      <c r="AQ13" s="289"/>
      <c r="AR13" s="289"/>
      <c r="AS13" s="289"/>
      <c r="AT13" s="289"/>
      <c r="AU13" s="289">
        <v>1</v>
      </c>
      <c r="AV13" s="289">
        <v>21</v>
      </c>
      <c r="AW13" s="289"/>
      <c r="AX13" s="289"/>
      <c r="AY13" s="290" t="s">
        <v>1638</v>
      </c>
      <c r="AZ13" s="288">
        <v>0</v>
      </c>
      <c r="BA13" s="291"/>
      <c r="BB13" s="291"/>
      <c r="BC13" s="291"/>
      <c r="BD13" s="291"/>
    </row>
    <row r="14" s="274" customFormat="1" ht="70" customHeight="1" spans="1:56">
      <c r="A14" s="285" t="s">
        <v>231</v>
      </c>
      <c r="B14" s="285" t="s">
        <v>1634</v>
      </c>
      <c r="C14" s="286" t="s">
        <v>408</v>
      </c>
      <c r="D14" s="286" t="s">
        <v>575</v>
      </c>
      <c r="E14" s="286" t="s">
        <v>412</v>
      </c>
      <c r="F14" s="286" t="s">
        <v>1440</v>
      </c>
      <c r="G14" s="286" t="s">
        <v>319</v>
      </c>
      <c r="H14" s="286"/>
      <c r="I14" s="286" t="s">
        <v>717</v>
      </c>
      <c r="J14" s="286" t="s">
        <v>773</v>
      </c>
      <c r="K14" s="286" t="s">
        <v>968</v>
      </c>
      <c r="L14" s="286" t="s">
        <v>1635</v>
      </c>
      <c r="M14" s="286"/>
      <c r="N14" s="286"/>
      <c r="O14" s="286" t="s">
        <v>577</v>
      </c>
      <c r="P14" s="286" t="s">
        <v>581</v>
      </c>
      <c r="Q14" s="286" t="s">
        <v>1098</v>
      </c>
      <c r="R14" s="286" t="s">
        <v>953</v>
      </c>
      <c r="S14" s="286" t="s">
        <v>1639</v>
      </c>
      <c r="T14" s="286" t="s">
        <v>1635</v>
      </c>
      <c r="U14" s="286"/>
      <c r="V14" s="286" t="s">
        <v>1622</v>
      </c>
      <c r="W14" s="286" t="s">
        <v>373</v>
      </c>
      <c r="X14" s="286" t="s">
        <v>1640</v>
      </c>
      <c r="Y14" s="286" t="s">
        <v>1432</v>
      </c>
      <c r="Z14" s="286" t="s">
        <v>1641</v>
      </c>
      <c r="AA14" s="286"/>
      <c r="AB14" s="286"/>
      <c r="AC14" s="286" t="s">
        <v>415</v>
      </c>
      <c r="AD14" s="286" t="s">
        <v>1436</v>
      </c>
      <c r="AE14" s="286" t="s">
        <v>855</v>
      </c>
      <c r="AF14" s="286" t="s">
        <v>406</v>
      </c>
      <c r="AG14" s="285" t="s">
        <v>231</v>
      </c>
      <c r="AH14" s="288">
        <v>24</v>
      </c>
      <c r="AI14" s="288">
        <v>23</v>
      </c>
      <c r="AJ14" s="288"/>
      <c r="AK14" s="288"/>
      <c r="AL14" s="288"/>
      <c r="AM14" s="289"/>
      <c r="AN14" s="289"/>
      <c r="AO14" s="289"/>
      <c r="AP14" s="289"/>
      <c r="AQ14" s="289"/>
      <c r="AR14" s="289"/>
      <c r="AS14" s="289"/>
      <c r="AT14" s="289"/>
      <c r="AU14" s="289">
        <v>1</v>
      </c>
      <c r="AV14" s="289">
        <v>24</v>
      </c>
      <c r="AW14" s="289"/>
      <c r="AX14" s="289">
        <v>200</v>
      </c>
      <c r="AY14" s="290" t="s">
        <v>256</v>
      </c>
      <c r="AZ14" s="288">
        <v>0</v>
      </c>
      <c r="BA14" s="291"/>
      <c r="BB14" s="291"/>
      <c r="BC14" s="291"/>
      <c r="BD14" s="291"/>
    </row>
    <row r="15" s="274" customFormat="1" ht="70" customHeight="1" spans="1:56">
      <c r="A15" s="285" t="s">
        <v>227</v>
      </c>
      <c r="B15" s="285" t="s">
        <v>1515</v>
      </c>
      <c r="C15" s="286" t="s">
        <v>1642</v>
      </c>
      <c r="D15" s="286" t="s">
        <v>423</v>
      </c>
      <c r="E15" s="286" t="s">
        <v>1004</v>
      </c>
      <c r="F15" s="286" t="s">
        <v>1643</v>
      </c>
      <c r="G15" s="286" t="s">
        <v>319</v>
      </c>
      <c r="H15" s="286"/>
      <c r="I15" s="286" t="s">
        <v>364</v>
      </c>
      <c r="J15" s="286" t="s">
        <v>1644</v>
      </c>
      <c r="K15" s="286" t="s">
        <v>1645</v>
      </c>
      <c r="L15" s="286" t="s">
        <v>1004</v>
      </c>
      <c r="M15" s="286"/>
      <c r="N15" s="286"/>
      <c r="O15" s="286" t="s">
        <v>709</v>
      </c>
      <c r="P15" s="286" t="s">
        <v>820</v>
      </c>
      <c r="Q15" s="286" t="s">
        <v>1646</v>
      </c>
      <c r="R15" s="286" t="s">
        <v>1547</v>
      </c>
      <c r="S15" s="286" t="s">
        <v>1107</v>
      </c>
      <c r="T15" s="286" t="s">
        <v>1647</v>
      </c>
      <c r="U15" s="286"/>
      <c r="V15" s="286" t="s">
        <v>1615</v>
      </c>
      <c r="W15" s="286" t="s">
        <v>1630</v>
      </c>
      <c r="X15" s="286" t="s">
        <v>815</v>
      </c>
      <c r="Y15" s="286" t="s">
        <v>1648</v>
      </c>
      <c r="Z15" s="286" t="s">
        <v>415</v>
      </c>
      <c r="AA15" s="286"/>
      <c r="AB15" s="286"/>
      <c r="AC15" s="286" t="s">
        <v>1649</v>
      </c>
      <c r="AD15" s="286" t="s">
        <v>1509</v>
      </c>
      <c r="AE15" s="286" t="s">
        <v>373</v>
      </c>
      <c r="AF15" s="286" t="s">
        <v>1650</v>
      </c>
      <c r="AG15" s="285" t="s">
        <v>227</v>
      </c>
      <c r="AH15" s="288">
        <v>24</v>
      </c>
      <c r="AI15" s="288">
        <v>23</v>
      </c>
      <c r="AJ15" s="288"/>
      <c r="AK15" s="288"/>
      <c r="AL15" s="288"/>
      <c r="AM15" s="289"/>
      <c r="AN15" s="289"/>
      <c r="AO15" s="289"/>
      <c r="AP15" s="289"/>
      <c r="AQ15" s="289"/>
      <c r="AR15" s="289"/>
      <c r="AS15" s="289"/>
      <c r="AT15" s="289"/>
      <c r="AU15" s="289">
        <v>1</v>
      </c>
      <c r="AV15" s="289">
        <v>24</v>
      </c>
      <c r="AW15" s="289"/>
      <c r="AX15" s="289">
        <v>200</v>
      </c>
      <c r="AY15" s="290" t="s">
        <v>256</v>
      </c>
      <c r="AZ15" s="288">
        <v>0.5</v>
      </c>
      <c r="BA15" s="291"/>
      <c r="BB15" s="291"/>
      <c r="BC15" s="291"/>
      <c r="BD15" s="291"/>
    </row>
    <row r="16" s="274" customFormat="1" ht="70" customHeight="1" spans="1:56">
      <c r="A16" s="285" t="s">
        <v>208</v>
      </c>
      <c r="B16" s="285" t="s">
        <v>39</v>
      </c>
      <c r="C16" s="286" t="s">
        <v>779</v>
      </c>
      <c r="D16" s="286" t="s">
        <v>851</v>
      </c>
      <c r="E16" s="286" t="s">
        <v>579</v>
      </c>
      <c r="F16" s="286" t="s">
        <v>572</v>
      </c>
      <c r="G16" s="286" t="s">
        <v>319</v>
      </c>
      <c r="H16" s="286"/>
      <c r="I16" s="286" t="s">
        <v>1651</v>
      </c>
      <c r="J16" s="286" t="s">
        <v>421</v>
      </c>
      <c r="K16" s="286" t="s">
        <v>610</v>
      </c>
      <c r="L16" s="286" t="s">
        <v>1553</v>
      </c>
      <c r="M16" s="286"/>
      <c r="N16" s="286"/>
      <c r="O16" s="286" t="s">
        <v>473</v>
      </c>
      <c r="P16" s="286" t="s">
        <v>564</v>
      </c>
      <c r="Q16" s="286" t="s">
        <v>438</v>
      </c>
      <c r="R16" s="286" t="s">
        <v>804</v>
      </c>
      <c r="S16" s="286" t="s">
        <v>376</v>
      </c>
      <c r="T16" s="286" t="s">
        <v>1504</v>
      </c>
      <c r="U16" s="286"/>
      <c r="V16" s="286" t="s">
        <v>856</v>
      </c>
      <c r="W16" s="286" t="s">
        <v>919</v>
      </c>
      <c r="X16" s="286" t="s">
        <v>1652</v>
      </c>
      <c r="Y16" s="286" t="s">
        <v>562</v>
      </c>
      <c r="Z16" s="286" t="s">
        <v>467</v>
      </c>
      <c r="AA16" s="286"/>
      <c r="AB16" s="286"/>
      <c r="AC16" s="286" t="s">
        <v>567</v>
      </c>
      <c r="AD16" s="286" t="s">
        <v>1407</v>
      </c>
      <c r="AE16" s="286" t="s">
        <v>804</v>
      </c>
      <c r="AF16" s="286" t="s">
        <v>421</v>
      </c>
      <c r="AG16" s="285" t="s">
        <v>208</v>
      </c>
      <c r="AH16" s="288">
        <v>24</v>
      </c>
      <c r="AI16" s="288">
        <v>23</v>
      </c>
      <c r="AJ16" s="288"/>
      <c r="AK16" s="288"/>
      <c r="AL16" s="288"/>
      <c r="AM16" s="289"/>
      <c r="AN16" s="289"/>
      <c r="AO16" s="289"/>
      <c r="AP16" s="289"/>
      <c r="AQ16" s="289"/>
      <c r="AR16" s="289"/>
      <c r="AS16" s="289"/>
      <c r="AT16" s="289"/>
      <c r="AU16" s="289">
        <v>1</v>
      </c>
      <c r="AV16" s="289">
        <v>24</v>
      </c>
      <c r="AW16" s="289"/>
      <c r="AX16" s="289">
        <v>200</v>
      </c>
      <c r="AY16" s="290" t="s">
        <v>256</v>
      </c>
      <c r="AZ16" s="288">
        <v>0</v>
      </c>
      <c r="BA16" s="291"/>
      <c r="BB16" s="291"/>
      <c r="BC16" s="291"/>
      <c r="BD16" s="291"/>
    </row>
    <row r="17" s="274" customFormat="1" ht="70" customHeight="1" spans="1:56">
      <c r="A17" s="51" t="s">
        <v>238</v>
      </c>
      <c r="B17" s="285" t="s">
        <v>1607</v>
      </c>
      <c r="C17" s="286" t="s">
        <v>926</v>
      </c>
      <c r="D17" s="286" t="s">
        <v>915</v>
      </c>
      <c r="E17" s="286" t="s">
        <v>1487</v>
      </c>
      <c r="F17" s="286" t="s">
        <v>1653</v>
      </c>
      <c r="G17" s="286" t="s">
        <v>319</v>
      </c>
      <c r="H17" s="286"/>
      <c r="I17" s="286" t="s">
        <v>1654</v>
      </c>
      <c r="J17" s="286" t="s">
        <v>1655</v>
      </c>
      <c r="K17" s="286" t="s">
        <v>869</v>
      </c>
      <c r="L17" s="286" t="s">
        <v>818</v>
      </c>
      <c r="M17" s="286"/>
      <c r="N17" s="286"/>
      <c r="O17" s="286" t="s">
        <v>1656</v>
      </c>
      <c r="P17" s="286" t="s">
        <v>1657</v>
      </c>
      <c r="Q17" s="286" t="s">
        <v>1658</v>
      </c>
      <c r="R17" s="286" t="s">
        <v>1549</v>
      </c>
      <c r="S17" s="286" t="s">
        <v>1659</v>
      </c>
      <c r="T17" s="286" t="s">
        <v>908</v>
      </c>
      <c r="U17" s="286"/>
      <c r="V17" s="286" t="s">
        <v>1660</v>
      </c>
      <c r="W17" s="286" t="s">
        <v>897</v>
      </c>
      <c r="X17" s="286" t="s">
        <v>1661</v>
      </c>
      <c r="Y17" s="286" t="s">
        <v>1662</v>
      </c>
      <c r="Z17" s="286" t="s">
        <v>1663</v>
      </c>
      <c r="AA17" s="286"/>
      <c r="AB17" s="286"/>
      <c r="AC17" s="286" t="s">
        <v>862</v>
      </c>
      <c r="AD17" s="286" t="s">
        <v>1664</v>
      </c>
      <c r="AE17" s="286" t="s">
        <v>660</v>
      </c>
      <c r="AF17" s="286" t="s">
        <v>897</v>
      </c>
      <c r="AG17" s="51" t="s">
        <v>238</v>
      </c>
      <c r="AH17" s="288">
        <v>24</v>
      </c>
      <c r="AI17" s="288">
        <v>23</v>
      </c>
      <c r="AJ17" s="288"/>
      <c r="AK17" s="288"/>
      <c r="AL17" s="288"/>
      <c r="AM17" s="289"/>
      <c r="AN17" s="289"/>
      <c r="AO17" s="289"/>
      <c r="AP17" s="289"/>
      <c r="AQ17" s="289"/>
      <c r="AR17" s="289"/>
      <c r="AS17" s="289"/>
      <c r="AT17" s="289"/>
      <c r="AU17" s="289">
        <v>1</v>
      </c>
      <c r="AV17" s="289">
        <v>24</v>
      </c>
      <c r="AW17" s="289"/>
      <c r="AX17" s="289">
        <v>200</v>
      </c>
      <c r="AY17" s="290" t="s">
        <v>256</v>
      </c>
      <c r="AZ17" s="288">
        <v>0</v>
      </c>
      <c r="BA17" s="291"/>
      <c r="BB17" s="291"/>
      <c r="BC17" s="291"/>
      <c r="BD17" s="291"/>
    </row>
    <row r="18" s="274" customFormat="1" ht="70" customHeight="1" spans="1:56">
      <c r="A18" s="51" t="s">
        <v>240</v>
      </c>
      <c r="B18" s="285" t="s">
        <v>1634</v>
      </c>
      <c r="C18" s="286" t="s">
        <v>1487</v>
      </c>
      <c r="D18" s="286" t="s">
        <v>1125</v>
      </c>
      <c r="E18" s="286" t="s">
        <v>915</v>
      </c>
      <c r="F18" s="286" t="s">
        <v>1440</v>
      </c>
      <c r="G18" s="286" t="s">
        <v>319</v>
      </c>
      <c r="H18" s="286"/>
      <c r="I18" s="286" t="s">
        <v>1614</v>
      </c>
      <c r="J18" s="286" t="s">
        <v>979</v>
      </c>
      <c r="K18" s="286" t="s">
        <v>676</v>
      </c>
      <c r="L18" s="286" t="s">
        <v>1665</v>
      </c>
      <c r="M18" s="286"/>
      <c r="N18" s="286"/>
      <c r="O18" s="286" t="s">
        <v>567</v>
      </c>
      <c r="P18" s="286" t="s">
        <v>1666</v>
      </c>
      <c r="Q18" s="286" t="s">
        <v>1560</v>
      </c>
      <c r="R18" s="286" t="s">
        <v>1667</v>
      </c>
      <c r="S18" s="286" t="s">
        <v>524</v>
      </c>
      <c r="T18" s="286" t="s">
        <v>1668</v>
      </c>
      <c r="U18" s="286"/>
      <c r="V18" s="286" t="s">
        <v>1669</v>
      </c>
      <c r="W18" s="286" t="s">
        <v>1473</v>
      </c>
      <c r="X18" s="286" t="s">
        <v>1670</v>
      </c>
      <c r="Y18" s="286" t="s">
        <v>772</v>
      </c>
      <c r="Z18" s="286" t="s">
        <v>858</v>
      </c>
      <c r="AA18" s="286"/>
      <c r="AB18" s="286"/>
      <c r="AC18" s="286" t="s">
        <v>647</v>
      </c>
      <c r="AD18" s="286" t="s">
        <v>1671</v>
      </c>
      <c r="AE18" s="286" t="s">
        <v>1068</v>
      </c>
      <c r="AF18" s="286" t="s">
        <v>1672</v>
      </c>
      <c r="AG18" s="51" t="s">
        <v>240</v>
      </c>
      <c r="AH18" s="288">
        <v>24</v>
      </c>
      <c r="AI18" s="288">
        <v>23</v>
      </c>
      <c r="AJ18" s="288"/>
      <c r="AK18" s="288"/>
      <c r="AL18" s="288"/>
      <c r="AM18" s="289"/>
      <c r="AN18" s="289"/>
      <c r="AO18" s="289"/>
      <c r="AP18" s="289"/>
      <c r="AQ18" s="289"/>
      <c r="AR18" s="289"/>
      <c r="AS18" s="289"/>
      <c r="AT18" s="289"/>
      <c r="AU18" s="289">
        <v>1</v>
      </c>
      <c r="AV18" s="289">
        <v>24</v>
      </c>
      <c r="AW18" s="289"/>
      <c r="AX18" s="289">
        <v>200</v>
      </c>
      <c r="AY18" s="290" t="s">
        <v>256</v>
      </c>
      <c r="AZ18" s="288">
        <v>1.5</v>
      </c>
      <c r="BA18" s="291"/>
      <c r="BB18" s="291"/>
      <c r="BC18" s="291"/>
      <c r="BD18" s="291"/>
    </row>
    <row r="19" s="275" customFormat="1" spans="1:56">
      <c r="A19" s="273"/>
      <c r="B19" s="276"/>
      <c r="C19" s="274"/>
      <c r="D19" s="274"/>
      <c r="AG19" s="277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</row>
    <row r="20" s="275" customFormat="1" spans="1:56">
      <c r="A20" s="273"/>
      <c r="B20" s="276"/>
      <c r="C20" s="274"/>
      <c r="D20" s="274"/>
      <c r="AG20" s="277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</row>
  </sheetData>
  <pageMargins left="0.25" right="0.25" top="0.75" bottom="0.75" header="0.298611111111111" footer="0.298611111111111"/>
  <pageSetup paperSize="9" scale="26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"/>
  <sheetViews>
    <sheetView zoomScale="115" zoomScaleNormal="115" workbookViewId="0">
      <selection activeCell="A1" sqref="$A1:$XFD1048576"/>
    </sheetView>
  </sheetViews>
  <sheetFormatPr defaultColWidth="9" defaultRowHeight="14.25"/>
  <cols>
    <col min="1" max="30" width="4.55833333333333" style="230" customWidth="1"/>
    <col min="31" max="31" width="5.025" style="230" customWidth="1"/>
  </cols>
  <sheetData>
    <row r="1" s="230" customFormat="1" spans="1:34">
      <c r="A1" s="231" t="s">
        <v>1673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3"/>
    </row>
    <row r="2" s="230" customFormat="1" spans="1:34">
      <c r="A2" s="2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6"/>
    </row>
    <row r="3" s="230" customFormat="1" spans="1:34">
      <c r="A3" s="237" t="s">
        <v>1674</v>
      </c>
      <c r="B3" s="238"/>
      <c r="C3" s="239" t="s">
        <v>1675</v>
      </c>
      <c r="D3" s="238"/>
      <c r="E3" s="238"/>
      <c r="F3" s="238"/>
      <c r="G3" s="238"/>
      <c r="H3" s="238"/>
      <c r="I3" s="238"/>
      <c r="J3" s="239" t="s">
        <v>1676</v>
      </c>
      <c r="K3" s="238"/>
      <c r="L3" s="239" t="s">
        <v>1677</v>
      </c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9"/>
      <c r="Y3" s="239"/>
      <c r="Z3" s="239"/>
      <c r="AA3" s="239"/>
      <c r="AB3" s="239"/>
      <c r="AC3" s="240"/>
      <c r="AD3" s="239"/>
      <c r="AE3" s="241"/>
    </row>
    <row r="4" s="230" customFormat="1" spans="1:34">
      <c r="A4" s="242">
        <v>1</v>
      </c>
      <c r="B4" s="242">
        <v>2</v>
      </c>
      <c r="C4" s="242">
        <v>3</v>
      </c>
      <c r="D4" s="242">
        <v>4</v>
      </c>
      <c r="E4" s="242">
        <v>5</v>
      </c>
      <c r="F4" s="242">
        <v>6</v>
      </c>
      <c r="G4" s="242">
        <v>7</v>
      </c>
      <c r="H4" s="242">
        <v>8</v>
      </c>
      <c r="I4" s="242">
        <v>9</v>
      </c>
      <c r="J4" s="242">
        <v>10</v>
      </c>
      <c r="K4" s="242">
        <v>11</v>
      </c>
      <c r="L4" s="242">
        <v>12</v>
      </c>
      <c r="M4" s="242">
        <v>13</v>
      </c>
      <c r="N4" s="242">
        <v>14</v>
      </c>
      <c r="O4" s="242">
        <v>15</v>
      </c>
      <c r="P4" s="242">
        <v>16</v>
      </c>
      <c r="Q4" s="242">
        <v>17</v>
      </c>
      <c r="R4" s="242">
        <v>18</v>
      </c>
      <c r="S4" s="242">
        <v>19</v>
      </c>
      <c r="T4" s="242">
        <v>20</v>
      </c>
      <c r="U4" s="242">
        <v>21</v>
      </c>
      <c r="V4" s="242">
        <v>22</v>
      </c>
      <c r="W4" s="242">
        <v>23</v>
      </c>
      <c r="X4" s="242">
        <v>24</v>
      </c>
      <c r="Y4" s="242">
        <v>25</v>
      </c>
      <c r="Z4" s="242">
        <v>26</v>
      </c>
      <c r="AA4" s="242">
        <v>27</v>
      </c>
      <c r="AB4" s="242">
        <v>28</v>
      </c>
      <c r="AC4" s="242">
        <v>29</v>
      </c>
      <c r="AD4" s="242">
        <v>30</v>
      </c>
      <c r="AE4" s="242"/>
    </row>
    <row r="5" s="230" customFormat="1" spans="1:34">
      <c r="A5" s="243" t="s">
        <v>1678</v>
      </c>
      <c r="B5" s="244"/>
      <c r="C5" s="245" t="s">
        <v>1679</v>
      </c>
      <c r="D5" s="244"/>
      <c r="E5" s="244"/>
      <c r="F5" s="244"/>
      <c r="G5" s="244"/>
      <c r="H5" s="244"/>
      <c r="I5" s="244" t="s">
        <v>1680</v>
      </c>
      <c r="J5" s="244"/>
      <c r="K5" s="244" t="s">
        <v>1681</v>
      </c>
      <c r="L5" s="244"/>
      <c r="M5" s="244"/>
      <c r="N5" s="244"/>
      <c r="O5" s="244"/>
      <c r="P5" s="244"/>
      <c r="Q5" s="244"/>
      <c r="R5" s="244"/>
      <c r="S5" s="244" t="s">
        <v>1682</v>
      </c>
      <c r="T5" s="244"/>
      <c r="U5" s="244"/>
      <c r="V5" s="244"/>
      <c r="W5" s="244"/>
      <c r="X5" s="244"/>
      <c r="Y5" s="244"/>
      <c r="Z5" s="244"/>
      <c r="AA5" s="244"/>
      <c r="AB5" s="244"/>
      <c r="AC5" s="246"/>
      <c r="AD5" s="244"/>
      <c r="AE5" s="247"/>
    </row>
    <row r="6" s="230" customFormat="1" ht="22.5" spans="1:34">
      <c r="A6" s="248" t="s">
        <v>1683</v>
      </c>
      <c r="B6" s="248" t="s">
        <v>1684</v>
      </c>
      <c r="C6" s="248" t="s">
        <v>1685</v>
      </c>
      <c r="D6" s="248" t="s">
        <v>1686</v>
      </c>
      <c r="E6" s="248"/>
      <c r="F6" s="248"/>
      <c r="G6" s="248" t="s">
        <v>1687</v>
      </c>
      <c r="H6" s="248" t="s">
        <v>1687</v>
      </c>
      <c r="I6" s="248" t="s">
        <v>1685</v>
      </c>
      <c r="J6" s="248" t="s">
        <v>1688</v>
      </c>
      <c r="K6" s="248" t="s">
        <v>1684</v>
      </c>
      <c r="L6" s="248"/>
      <c r="M6" s="248" t="s">
        <v>1685</v>
      </c>
      <c r="N6" s="248" t="s">
        <v>1684</v>
      </c>
      <c r="O6" s="248" t="s">
        <v>1684</v>
      </c>
      <c r="P6" s="248" t="s">
        <v>1684</v>
      </c>
      <c r="Q6" s="248" t="s">
        <v>1689</v>
      </c>
      <c r="R6" s="248" t="s">
        <v>1689</v>
      </c>
      <c r="S6" s="248"/>
      <c r="T6" s="248" t="s">
        <v>1690</v>
      </c>
      <c r="U6" s="248" t="s">
        <v>1690</v>
      </c>
      <c r="V6" s="248" t="s">
        <v>1685</v>
      </c>
      <c r="W6" s="248" t="s">
        <v>1688</v>
      </c>
      <c r="X6" s="248" t="s">
        <v>1688</v>
      </c>
      <c r="Y6" s="248" t="s">
        <v>1691</v>
      </c>
      <c r="Z6" s="248"/>
      <c r="AA6" s="248" t="s">
        <v>1684</v>
      </c>
      <c r="AB6" s="248" t="s">
        <v>1685</v>
      </c>
      <c r="AC6" s="249" t="s">
        <v>1688</v>
      </c>
      <c r="AD6" s="248" t="s">
        <v>1690</v>
      </c>
      <c r="AE6" s="250"/>
      <c r="AF6" s="251" t="s">
        <v>1692</v>
      </c>
      <c r="AG6" s="251" t="s">
        <v>1693</v>
      </c>
      <c r="AH6" s="252" t="s">
        <v>1694</v>
      </c>
    </row>
    <row r="7" s="230" customFormat="1" spans="1:34">
      <c r="A7" s="253">
        <v>8</v>
      </c>
      <c r="B7" s="253">
        <v>8</v>
      </c>
      <c r="C7" s="253">
        <v>8</v>
      </c>
      <c r="D7" s="253">
        <v>8</v>
      </c>
      <c r="E7" s="253"/>
      <c r="F7" s="253"/>
      <c r="G7" s="253">
        <v>8</v>
      </c>
      <c r="H7" s="253">
        <v>8</v>
      </c>
      <c r="I7" s="253">
        <v>8</v>
      </c>
      <c r="J7" s="253">
        <v>8</v>
      </c>
      <c r="K7" s="253">
        <v>8</v>
      </c>
      <c r="L7" s="253"/>
      <c r="M7" s="253">
        <v>8</v>
      </c>
      <c r="N7" s="253">
        <v>8</v>
      </c>
      <c r="O7" s="253">
        <v>8</v>
      </c>
      <c r="P7" s="253">
        <v>8</v>
      </c>
      <c r="Q7" s="253">
        <v>8</v>
      </c>
      <c r="R7" s="253">
        <v>8</v>
      </c>
      <c r="S7" s="253"/>
      <c r="T7" s="253">
        <v>8</v>
      </c>
      <c r="U7" s="253">
        <v>8</v>
      </c>
      <c r="V7" s="253">
        <v>8</v>
      </c>
      <c r="W7" s="253">
        <v>8</v>
      </c>
      <c r="X7" s="253">
        <v>8</v>
      </c>
      <c r="Y7" s="253">
        <v>7</v>
      </c>
      <c r="Z7" s="253"/>
      <c r="AA7" s="253">
        <v>8</v>
      </c>
      <c r="AB7" s="253">
        <v>8</v>
      </c>
      <c r="AC7" s="253">
        <v>8</v>
      </c>
      <c r="AD7" s="253">
        <v>8</v>
      </c>
      <c r="AE7" s="254"/>
      <c r="AF7" s="255">
        <f>SUM(A7:AE7)</f>
        <v>199</v>
      </c>
      <c r="AG7" s="255">
        <v>23</v>
      </c>
      <c r="AH7" s="256">
        <f>AG7*AF7</f>
        <v>4577</v>
      </c>
    </row>
    <row r="8" s="230" customFormat="1" spans="1:34">
      <c r="A8" s="243" t="s">
        <v>1678</v>
      </c>
      <c r="B8" s="244"/>
      <c r="C8" s="245" t="s">
        <v>1695</v>
      </c>
      <c r="D8" s="244"/>
      <c r="E8" s="244"/>
      <c r="F8" s="244"/>
      <c r="G8" s="244"/>
      <c r="H8" s="244"/>
      <c r="I8" s="244" t="s">
        <v>1680</v>
      </c>
      <c r="J8" s="244"/>
      <c r="K8" s="244" t="s">
        <v>1696</v>
      </c>
      <c r="L8" s="244"/>
      <c r="M8" s="244"/>
      <c r="N8" s="244"/>
      <c r="O8" s="244"/>
      <c r="P8" s="244"/>
      <c r="Q8" s="244"/>
      <c r="R8" s="244"/>
      <c r="S8" s="244" t="s">
        <v>1682</v>
      </c>
      <c r="T8" s="244"/>
      <c r="U8" s="244"/>
      <c r="V8" s="244"/>
      <c r="W8" s="244"/>
      <c r="X8" s="244"/>
      <c r="Y8" s="244"/>
      <c r="Z8" s="244"/>
      <c r="AA8" s="244"/>
      <c r="AB8" s="244"/>
      <c r="AC8" s="246"/>
      <c r="AD8" s="244"/>
      <c r="AE8" s="247"/>
    </row>
    <row r="9" s="230" customFormat="1" ht="22.5" spans="1:34">
      <c r="A9" s="248" t="s">
        <v>1685</v>
      </c>
      <c r="B9" s="248" t="s">
        <v>1697</v>
      </c>
      <c r="C9" s="248" t="s">
        <v>1684</v>
      </c>
      <c r="D9" s="248" t="s">
        <v>1698</v>
      </c>
      <c r="E9" s="248"/>
      <c r="F9" s="248"/>
      <c r="G9" s="248" t="s">
        <v>1699</v>
      </c>
      <c r="H9" s="248" t="s">
        <v>1684</v>
      </c>
      <c r="I9" s="248" t="s">
        <v>1685</v>
      </c>
      <c r="J9" s="248" t="s">
        <v>1699</v>
      </c>
      <c r="K9" s="248" t="s">
        <v>1684</v>
      </c>
      <c r="L9" s="248"/>
      <c r="M9" s="248" t="s">
        <v>1685</v>
      </c>
      <c r="N9" s="248" t="s">
        <v>1685</v>
      </c>
      <c r="O9" s="248" t="s">
        <v>1684</v>
      </c>
      <c r="P9" s="248" t="s">
        <v>1687</v>
      </c>
      <c r="Q9" s="248" t="s">
        <v>1684</v>
      </c>
      <c r="R9" s="248" t="s">
        <v>1685</v>
      </c>
      <c r="S9" s="248"/>
      <c r="T9" s="248" t="s">
        <v>1684</v>
      </c>
      <c r="U9" s="257" t="s">
        <v>1700</v>
      </c>
      <c r="V9" s="248" t="s">
        <v>1684</v>
      </c>
      <c r="W9" s="248" t="s">
        <v>1684</v>
      </c>
      <c r="X9" s="248" t="s">
        <v>1699</v>
      </c>
      <c r="Y9" s="248" t="s">
        <v>1688</v>
      </c>
      <c r="Z9" s="248"/>
      <c r="AA9" s="248" t="s">
        <v>1687</v>
      </c>
      <c r="AB9" s="248" t="s">
        <v>1685</v>
      </c>
      <c r="AC9" s="249" t="s">
        <v>1701</v>
      </c>
      <c r="AD9" s="248" t="s">
        <v>1699</v>
      </c>
      <c r="AE9" s="248"/>
      <c r="AF9" s="251" t="s">
        <v>1692</v>
      </c>
      <c r="AG9" s="251" t="s">
        <v>1693</v>
      </c>
      <c r="AH9" s="252" t="s">
        <v>1694</v>
      </c>
    </row>
    <row r="10" s="230" customFormat="1" spans="1:34">
      <c r="A10" s="253">
        <v>8</v>
      </c>
      <c r="B10" s="253">
        <v>8</v>
      </c>
      <c r="C10" s="253">
        <v>8</v>
      </c>
      <c r="D10" s="253">
        <v>8</v>
      </c>
      <c r="E10" s="258"/>
      <c r="F10" s="258"/>
      <c r="G10" s="253">
        <v>8</v>
      </c>
      <c r="H10" s="253">
        <v>8</v>
      </c>
      <c r="I10" s="253">
        <v>8</v>
      </c>
      <c r="J10" s="253">
        <v>8</v>
      </c>
      <c r="K10" s="253">
        <v>8</v>
      </c>
      <c r="L10" s="258"/>
      <c r="M10" s="253">
        <v>8</v>
      </c>
      <c r="N10" s="253">
        <v>8</v>
      </c>
      <c r="O10" s="253">
        <v>8</v>
      </c>
      <c r="P10" s="253">
        <v>8</v>
      </c>
      <c r="Q10" s="253">
        <v>8</v>
      </c>
      <c r="R10" s="253">
        <v>8</v>
      </c>
      <c r="S10" s="258"/>
      <c r="T10" s="253">
        <v>8</v>
      </c>
      <c r="U10" s="253">
        <v>8</v>
      </c>
      <c r="V10" s="253">
        <v>8</v>
      </c>
      <c r="W10" s="253">
        <v>8</v>
      </c>
      <c r="X10" s="253">
        <v>8</v>
      </c>
      <c r="Y10" s="253">
        <v>8</v>
      </c>
      <c r="Z10" s="258"/>
      <c r="AA10" s="253">
        <v>8</v>
      </c>
      <c r="AB10" s="253">
        <v>8</v>
      </c>
      <c r="AC10" s="253">
        <v>10</v>
      </c>
      <c r="AD10" s="253">
        <v>8</v>
      </c>
      <c r="AE10" s="259"/>
      <c r="AF10" s="255">
        <f>SUM(A10:AE10)</f>
        <v>202</v>
      </c>
      <c r="AG10" s="255">
        <v>24</v>
      </c>
      <c r="AH10" s="256">
        <f>AG10*AF10</f>
        <v>4848</v>
      </c>
    </row>
    <row r="11" s="230" customFormat="1" spans="1:34">
      <c r="A11" s="243" t="s">
        <v>1678</v>
      </c>
      <c r="B11" s="244"/>
      <c r="C11" s="245" t="s">
        <v>1702</v>
      </c>
      <c r="D11" s="244"/>
      <c r="E11" s="244"/>
      <c r="F11" s="244"/>
      <c r="G11" s="244"/>
      <c r="H11" s="244"/>
      <c r="I11" s="244" t="s">
        <v>1680</v>
      </c>
      <c r="J11" s="244"/>
      <c r="K11" s="244" t="s">
        <v>1703</v>
      </c>
      <c r="L11" s="244"/>
      <c r="M11" s="244"/>
      <c r="N11" s="244"/>
      <c r="O11" s="244"/>
      <c r="P11" s="244"/>
      <c r="Q11" s="244"/>
      <c r="R11" s="244"/>
      <c r="S11" s="244" t="s">
        <v>1682</v>
      </c>
      <c r="T11" s="244"/>
      <c r="U11" s="244"/>
      <c r="V11" s="244"/>
      <c r="W11" s="244"/>
      <c r="X11" s="244"/>
      <c r="Y11" s="244"/>
      <c r="Z11" s="244"/>
      <c r="AA11" s="244"/>
      <c r="AB11" s="244"/>
      <c r="AC11" s="246"/>
      <c r="AD11" s="244"/>
      <c r="AE11" s="247"/>
    </row>
    <row r="12" s="230" customFormat="1" ht="22.5" spans="1:34">
      <c r="A12" s="248" t="s">
        <v>1704</v>
      </c>
      <c r="B12" s="248" t="s">
        <v>1705</v>
      </c>
      <c r="C12" s="248" t="s">
        <v>1706</v>
      </c>
      <c r="D12" s="248" t="s">
        <v>1684</v>
      </c>
      <c r="E12" s="248"/>
      <c r="F12" s="248"/>
      <c r="G12" s="248" t="s">
        <v>1689</v>
      </c>
      <c r="H12" s="248" t="s">
        <v>1689</v>
      </c>
      <c r="I12" s="248" t="s">
        <v>1685</v>
      </c>
      <c r="J12" s="248" t="s">
        <v>1704</v>
      </c>
      <c r="K12" s="248" t="s">
        <v>1707</v>
      </c>
      <c r="L12" s="248"/>
      <c r="M12" s="248" t="s">
        <v>1699</v>
      </c>
      <c r="N12" s="248" t="s">
        <v>1706</v>
      </c>
      <c r="O12" s="248" t="s">
        <v>1690</v>
      </c>
      <c r="P12" s="248" t="s">
        <v>1704</v>
      </c>
      <c r="Q12" s="248" t="s">
        <v>1705</v>
      </c>
      <c r="R12" s="248" t="s">
        <v>1687</v>
      </c>
      <c r="S12" s="248"/>
      <c r="T12" s="248" t="s">
        <v>1689</v>
      </c>
      <c r="U12" s="248" t="s">
        <v>1689</v>
      </c>
      <c r="V12" s="248" t="s">
        <v>1705</v>
      </c>
      <c r="W12" s="248" t="s">
        <v>1706</v>
      </c>
      <c r="X12" s="248" t="s">
        <v>1708</v>
      </c>
      <c r="Y12" s="248" t="s">
        <v>1709</v>
      </c>
      <c r="Z12" s="248"/>
      <c r="AA12" s="248" t="s">
        <v>1687</v>
      </c>
      <c r="AB12" s="248" t="s">
        <v>1704</v>
      </c>
      <c r="AC12" s="249" t="s">
        <v>1710</v>
      </c>
      <c r="AD12" s="248" t="s">
        <v>1706</v>
      </c>
      <c r="AE12" s="250"/>
      <c r="AF12" s="251" t="s">
        <v>1692</v>
      </c>
      <c r="AG12" s="251" t="s">
        <v>1693</v>
      </c>
      <c r="AH12" s="252" t="s">
        <v>1694</v>
      </c>
    </row>
    <row r="13" s="230" customFormat="1" spans="1:34">
      <c r="A13" s="253">
        <v>8</v>
      </c>
      <c r="B13" s="253">
        <v>8</v>
      </c>
      <c r="C13" s="253">
        <v>8</v>
      </c>
      <c r="D13" s="253">
        <v>8</v>
      </c>
      <c r="E13" s="258"/>
      <c r="F13" s="258"/>
      <c r="G13" s="253">
        <v>8</v>
      </c>
      <c r="H13" s="253">
        <v>8</v>
      </c>
      <c r="I13" s="253">
        <v>8</v>
      </c>
      <c r="J13" s="253">
        <v>8</v>
      </c>
      <c r="K13" s="253">
        <v>8</v>
      </c>
      <c r="L13" s="258"/>
      <c r="M13" s="253">
        <v>8</v>
      </c>
      <c r="N13" s="253">
        <v>8</v>
      </c>
      <c r="O13" s="253">
        <v>8</v>
      </c>
      <c r="P13" s="253">
        <v>8</v>
      </c>
      <c r="Q13" s="253">
        <v>8</v>
      </c>
      <c r="R13" s="253">
        <v>8</v>
      </c>
      <c r="S13" s="258"/>
      <c r="T13" s="253">
        <v>8</v>
      </c>
      <c r="U13" s="253">
        <v>8</v>
      </c>
      <c r="V13" s="253">
        <v>8</v>
      </c>
      <c r="W13" s="253">
        <v>8</v>
      </c>
      <c r="X13" s="253">
        <v>8</v>
      </c>
      <c r="Y13" s="253">
        <v>8</v>
      </c>
      <c r="Z13" s="258"/>
      <c r="AA13" s="253">
        <v>8</v>
      </c>
      <c r="AB13" s="253">
        <v>8</v>
      </c>
      <c r="AC13" s="253">
        <v>10</v>
      </c>
      <c r="AD13" s="253">
        <v>8</v>
      </c>
      <c r="AE13" s="260"/>
      <c r="AF13" s="255">
        <f>SUM(A13:AE13)</f>
        <v>202</v>
      </c>
      <c r="AG13" s="255">
        <v>23</v>
      </c>
      <c r="AH13" s="256">
        <f>AG13*AF13</f>
        <v>4646</v>
      </c>
    </row>
    <row r="14" s="230" customFormat="1" spans="1:34">
      <c r="A14" s="243" t="s">
        <v>1678</v>
      </c>
      <c r="B14" s="244"/>
      <c r="C14" s="245" t="s">
        <v>1711</v>
      </c>
      <c r="D14" s="244"/>
      <c r="E14" s="244"/>
      <c r="F14" s="244"/>
      <c r="G14" s="244"/>
      <c r="H14" s="244"/>
      <c r="I14" s="244" t="s">
        <v>1680</v>
      </c>
      <c r="J14" s="244"/>
      <c r="K14" s="244" t="s">
        <v>1712</v>
      </c>
      <c r="L14" s="244"/>
      <c r="M14" s="244"/>
      <c r="N14" s="244"/>
      <c r="O14" s="244"/>
      <c r="P14" s="244"/>
      <c r="Q14" s="244"/>
      <c r="R14" s="244"/>
      <c r="S14" s="244" t="s">
        <v>1682</v>
      </c>
      <c r="T14" s="244"/>
      <c r="U14" s="244"/>
      <c r="V14" s="244"/>
      <c r="W14" s="244"/>
      <c r="X14" s="244"/>
      <c r="Y14" s="244"/>
      <c r="Z14" s="244"/>
      <c r="AA14" s="244"/>
      <c r="AB14" s="244"/>
      <c r="AC14" s="246"/>
      <c r="AD14" s="244"/>
      <c r="AE14" s="261"/>
    </row>
    <row r="15" s="230" customFormat="1" ht="22.5" spans="1:34">
      <c r="A15" s="248" t="s">
        <v>1713</v>
      </c>
      <c r="B15" s="248"/>
      <c r="C15" s="248"/>
      <c r="D15" s="248"/>
      <c r="E15" s="248"/>
      <c r="F15" s="248"/>
      <c r="G15" s="248"/>
      <c r="H15" s="248" t="s">
        <v>1708</v>
      </c>
      <c r="I15" s="248" t="s">
        <v>1690</v>
      </c>
      <c r="J15" s="248" t="s">
        <v>1708</v>
      </c>
      <c r="K15" s="248" t="s">
        <v>1713</v>
      </c>
      <c r="L15" s="248"/>
      <c r="M15" s="248" t="s">
        <v>1704</v>
      </c>
      <c r="N15" s="248" t="s">
        <v>1690</v>
      </c>
      <c r="O15" s="248" t="s">
        <v>1704</v>
      </c>
      <c r="P15" s="248" t="s">
        <v>1706</v>
      </c>
      <c r="Q15" s="248" t="s">
        <v>1705</v>
      </c>
      <c r="R15" s="248" t="s">
        <v>1689</v>
      </c>
      <c r="S15" s="248"/>
      <c r="T15" s="248" t="s">
        <v>1708</v>
      </c>
      <c r="U15" s="248" t="s">
        <v>1705</v>
      </c>
      <c r="V15" s="248" t="s">
        <v>1708</v>
      </c>
      <c r="W15" s="248" t="s">
        <v>1706</v>
      </c>
      <c r="X15" s="248" t="s">
        <v>1690</v>
      </c>
      <c r="Y15" s="248" t="s">
        <v>1708</v>
      </c>
      <c r="Z15" s="248"/>
      <c r="AA15" s="248" t="s">
        <v>1706</v>
      </c>
      <c r="AB15" s="248" t="s">
        <v>1704</v>
      </c>
      <c r="AC15" s="249" t="s">
        <v>1714</v>
      </c>
      <c r="AD15" s="248" t="s">
        <v>1690</v>
      </c>
      <c r="AE15" s="248"/>
      <c r="AF15" s="262" t="s">
        <v>1692</v>
      </c>
      <c r="AG15" s="251" t="s">
        <v>1693</v>
      </c>
      <c r="AH15" s="252" t="s">
        <v>1694</v>
      </c>
    </row>
    <row r="16" s="230" customFormat="1" spans="1:34">
      <c r="A16" s="253">
        <v>8</v>
      </c>
      <c r="B16" s="263"/>
      <c r="C16" s="263"/>
      <c r="D16" s="263"/>
      <c r="E16" s="263"/>
      <c r="F16" s="263"/>
      <c r="G16" s="263"/>
      <c r="H16" s="253">
        <v>8</v>
      </c>
      <c r="I16" s="253">
        <v>8</v>
      </c>
      <c r="J16" s="253">
        <v>8</v>
      </c>
      <c r="K16" s="253">
        <v>8</v>
      </c>
      <c r="L16" s="263"/>
      <c r="M16" s="253">
        <v>8</v>
      </c>
      <c r="N16" s="253">
        <v>8</v>
      </c>
      <c r="O16" s="253">
        <v>8</v>
      </c>
      <c r="P16" s="253">
        <v>8</v>
      </c>
      <c r="Q16" s="253">
        <v>8</v>
      </c>
      <c r="R16" s="253">
        <v>8</v>
      </c>
      <c r="S16" s="263"/>
      <c r="T16" s="253">
        <v>8</v>
      </c>
      <c r="U16" s="253">
        <v>8</v>
      </c>
      <c r="V16" s="253">
        <v>8</v>
      </c>
      <c r="W16" s="253">
        <v>8</v>
      </c>
      <c r="X16" s="253">
        <v>8</v>
      </c>
      <c r="Y16" s="253">
        <v>8</v>
      </c>
      <c r="Z16" s="263"/>
      <c r="AA16" s="253">
        <v>8</v>
      </c>
      <c r="AB16" s="253">
        <v>8</v>
      </c>
      <c r="AC16" s="264">
        <v>10</v>
      </c>
      <c r="AD16" s="253">
        <v>8</v>
      </c>
      <c r="AE16" s="265"/>
      <c r="AF16" s="266">
        <f>SUM(A16:AE16)</f>
        <v>170</v>
      </c>
      <c r="AG16" s="255">
        <v>23</v>
      </c>
      <c r="AH16" s="256">
        <f>AG16*AF16</f>
        <v>3910</v>
      </c>
    </row>
    <row r="17" s="230" customFormat="1" spans="1:34">
      <c r="A17" s="243" t="s">
        <v>1678</v>
      </c>
      <c r="B17" s="244"/>
      <c r="C17" s="245" t="s">
        <v>1715</v>
      </c>
      <c r="D17" s="244"/>
      <c r="E17" s="244"/>
      <c r="F17" s="244"/>
      <c r="G17" s="244"/>
      <c r="H17" s="244"/>
      <c r="I17" s="244" t="s">
        <v>1680</v>
      </c>
      <c r="J17" s="244"/>
      <c r="K17" s="244" t="s">
        <v>1716</v>
      </c>
      <c r="L17" s="244"/>
      <c r="M17" s="244"/>
      <c r="N17" s="244"/>
      <c r="O17" s="244"/>
      <c r="P17" s="244"/>
      <c r="Q17" s="244"/>
      <c r="R17" s="244"/>
      <c r="S17" s="244" t="s">
        <v>1682</v>
      </c>
      <c r="T17" s="244"/>
      <c r="U17" s="244"/>
      <c r="V17" s="244"/>
      <c r="W17" s="244"/>
      <c r="X17" s="244"/>
      <c r="Y17" s="244"/>
      <c r="Z17" s="244"/>
      <c r="AA17" s="244"/>
      <c r="AB17" s="244"/>
      <c r="AC17" s="246"/>
      <c r="AD17" s="244"/>
      <c r="AE17" s="247"/>
    </row>
    <row r="18" s="230" customFormat="1" ht="22.5" spans="1:34">
      <c r="A18" s="248" t="s">
        <v>1686</v>
      </c>
      <c r="B18" s="248" t="s">
        <v>1699</v>
      </c>
      <c r="C18" s="248" t="s">
        <v>1684</v>
      </c>
      <c r="D18" s="248"/>
      <c r="E18" s="248"/>
      <c r="F18" s="248"/>
      <c r="G18" s="257" t="s">
        <v>1717</v>
      </c>
      <c r="H18" s="257" t="s">
        <v>1717</v>
      </c>
      <c r="I18" s="248"/>
      <c r="J18" s="257" t="s">
        <v>1700</v>
      </c>
      <c r="K18" s="248" t="s">
        <v>1699</v>
      </c>
      <c r="L18" s="248"/>
      <c r="M18" s="248"/>
      <c r="N18" s="248" t="s">
        <v>1687</v>
      </c>
      <c r="O18" s="257" t="s">
        <v>1717</v>
      </c>
      <c r="P18" s="248" t="s">
        <v>1686</v>
      </c>
      <c r="Q18" s="248" t="s">
        <v>1686</v>
      </c>
      <c r="R18" s="248" t="s">
        <v>1686</v>
      </c>
      <c r="S18" s="248"/>
      <c r="T18" s="248" t="s">
        <v>1699</v>
      </c>
      <c r="U18" s="257" t="s">
        <v>1700</v>
      </c>
      <c r="V18" s="248" t="s">
        <v>1685</v>
      </c>
      <c r="W18" s="248" t="s">
        <v>1699</v>
      </c>
      <c r="X18" s="248" t="s">
        <v>1686</v>
      </c>
      <c r="Y18" s="248" t="s">
        <v>1684</v>
      </c>
      <c r="Z18" s="248"/>
      <c r="AA18" s="248" t="s">
        <v>1718</v>
      </c>
      <c r="AB18" s="248" t="s">
        <v>1699</v>
      </c>
      <c r="AC18" s="249" t="s">
        <v>1719</v>
      </c>
      <c r="AD18" s="248" t="s">
        <v>1684</v>
      </c>
      <c r="AE18" s="250"/>
      <c r="AF18" s="251" t="s">
        <v>1692</v>
      </c>
      <c r="AG18" s="251" t="s">
        <v>1693</v>
      </c>
      <c r="AH18" s="252" t="s">
        <v>1694</v>
      </c>
    </row>
    <row r="19" s="230" customFormat="1" spans="1:34">
      <c r="A19" s="253">
        <v>8</v>
      </c>
      <c r="B19" s="253">
        <v>8</v>
      </c>
      <c r="C19" s="253">
        <v>8</v>
      </c>
      <c r="D19" s="267"/>
      <c r="E19" s="267"/>
      <c r="F19" s="267"/>
      <c r="G19" s="253">
        <v>8</v>
      </c>
      <c r="H19" s="253">
        <v>8</v>
      </c>
      <c r="I19" s="267"/>
      <c r="J19" s="253">
        <v>8</v>
      </c>
      <c r="K19" s="253">
        <v>8</v>
      </c>
      <c r="L19" s="267"/>
      <c r="M19" s="267"/>
      <c r="N19" s="253">
        <v>8</v>
      </c>
      <c r="O19" s="253">
        <v>8</v>
      </c>
      <c r="P19" s="253">
        <v>8</v>
      </c>
      <c r="Q19" s="253">
        <v>8</v>
      </c>
      <c r="R19" s="253">
        <v>8</v>
      </c>
      <c r="S19" s="267"/>
      <c r="T19" s="253">
        <v>8</v>
      </c>
      <c r="U19" s="253">
        <v>8</v>
      </c>
      <c r="V19" s="253">
        <v>8</v>
      </c>
      <c r="W19" s="253">
        <v>8</v>
      </c>
      <c r="X19" s="253">
        <v>8</v>
      </c>
      <c r="Y19" s="253">
        <v>8</v>
      </c>
      <c r="Z19" s="267"/>
      <c r="AA19" s="253">
        <v>8</v>
      </c>
      <c r="AB19" s="253">
        <v>8</v>
      </c>
      <c r="AC19" s="253">
        <v>10</v>
      </c>
      <c r="AD19" s="253">
        <v>8</v>
      </c>
      <c r="AE19" s="268"/>
      <c r="AF19" s="255">
        <f>SUM(A19:AE19)</f>
        <v>178</v>
      </c>
      <c r="AG19" s="255">
        <v>23</v>
      </c>
      <c r="AH19" s="256">
        <f>AG19*AF19</f>
        <v>4094</v>
      </c>
    </row>
    <row r="20" s="230" customFormat="1" spans="1:34">
      <c r="AC20" s="269"/>
      <c r="AD20" s="270"/>
      <c r="AE20" s="270"/>
      <c r="AF20" s="251" t="s">
        <v>1692</v>
      </c>
      <c r="AG20" s="271"/>
      <c r="AH20" s="252" t="s">
        <v>1694</v>
      </c>
    </row>
    <row r="21" s="230" customFormat="1" spans="1:34">
      <c r="AC21" s="269"/>
      <c r="AD21" s="270" t="s">
        <v>1720</v>
      </c>
      <c r="AE21" s="270"/>
      <c r="AF21" s="255">
        <f>SUM(AF7:AF20)</f>
        <v>951</v>
      </c>
      <c r="AG21" s="255"/>
      <c r="AH21" s="256">
        <f>SUM(AH7:AH20)</f>
        <v>22075</v>
      </c>
    </row>
    <row r="22" s="230" customFormat="1" spans="1:34">
      <c r="AC22" s="269"/>
    </row>
    <row r="23" s="230" customFormat="1" spans="1:34">
      <c r="AC23" s="269"/>
      <c r="AE23" s="269"/>
    </row>
    <row r="24" s="230" customFormat="1" spans="1:34">
      <c r="AC24" s="269"/>
    </row>
    <row r="27" spans="1:34">
      <c r="A27" s="272"/>
    </row>
    <row r="29" spans="1:34">
      <c r="A29" s="230" t="s">
        <v>1721</v>
      </c>
    </row>
  </sheetData>
  <mergeCells count="4">
    <mergeCell ref="Y3:AE3"/>
    <mergeCell ref="AD20:AE20"/>
    <mergeCell ref="AD21:AE21"/>
    <mergeCell ref="A1:AE2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15" defaultRowHeight="88" customHeight="1"/>
  <cols>
    <col min="1" max="16384" width="15" style="229"/>
  </cols>
  <sheetData/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25"/>
  <sheetViews>
    <sheetView topLeftCell="A198" workbookViewId="0">
      <selection activeCell="L228" sqref="L228"/>
    </sheetView>
  </sheetViews>
  <sheetFormatPr defaultColWidth="9" defaultRowHeight="13.5"/>
  <cols>
    <col min="1" max="16384" width="9" style="13"/>
  </cols>
  <sheetData>
    <row r="1" s="62" customFormat="1" ht="28.5" spans="1:39">
      <c r="A1" s="85"/>
      <c r="B1" s="86" t="s">
        <v>1722</v>
      </c>
      <c r="C1" s="87"/>
      <c r="D1" s="85"/>
      <c r="E1" s="85"/>
      <c r="F1" s="88" t="s">
        <v>1723</v>
      </c>
      <c r="G1" s="89" t="s">
        <v>1724</v>
      </c>
      <c r="H1" s="89" t="s">
        <v>1725</v>
      </c>
      <c r="I1" s="88"/>
      <c r="J1" s="90" t="s">
        <v>1726</v>
      </c>
      <c r="K1" s="91"/>
      <c r="L1" s="90" t="s">
        <v>1727</v>
      </c>
      <c r="M1" s="91"/>
      <c r="N1" s="90" t="s">
        <v>1728</v>
      </c>
      <c r="O1" s="91"/>
      <c r="P1" s="90" t="s">
        <v>1729</v>
      </c>
      <c r="Q1" s="91"/>
      <c r="R1" s="90" t="s">
        <v>1730</v>
      </c>
      <c r="S1" s="91"/>
      <c r="T1" s="92" t="s">
        <v>1731</v>
      </c>
      <c r="U1" s="93"/>
      <c r="V1" s="92" t="s">
        <v>1732</v>
      </c>
      <c r="W1" s="93"/>
      <c r="X1" s="92" t="s">
        <v>1733</v>
      </c>
      <c r="Y1" s="93"/>
      <c r="Z1" s="92" t="s">
        <v>1734</v>
      </c>
      <c r="AA1" s="93"/>
      <c r="AB1" s="92" t="s">
        <v>1735</v>
      </c>
      <c r="AC1" s="93"/>
      <c r="AD1" s="90" t="s">
        <v>1736</v>
      </c>
      <c r="AE1" s="91"/>
      <c r="AF1" s="90" t="s">
        <v>1737</v>
      </c>
      <c r="AG1" s="91"/>
      <c r="AH1" s="90" t="s">
        <v>1738</v>
      </c>
      <c r="AI1" s="91"/>
      <c r="AJ1" s="90" t="s">
        <v>1739</v>
      </c>
      <c r="AK1" s="91"/>
      <c r="AL1" s="90" t="s">
        <v>1740</v>
      </c>
      <c r="AM1" s="91"/>
    </row>
    <row r="2" s="62" customFormat="1" ht="15" spans="1:39">
      <c r="A2" s="94" t="s">
        <v>277</v>
      </c>
      <c r="B2" s="94" t="s">
        <v>1</v>
      </c>
      <c r="C2" s="95" t="s">
        <v>1741</v>
      </c>
      <c r="D2" s="94" t="s">
        <v>1742</v>
      </c>
      <c r="E2" s="94" t="s">
        <v>1743</v>
      </c>
      <c r="F2" s="88"/>
      <c r="G2" s="88"/>
      <c r="H2" s="88"/>
      <c r="I2" s="88" t="s">
        <v>1744</v>
      </c>
      <c r="J2" s="88" t="s">
        <v>1745</v>
      </c>
      <c r="K2" s="88" t="s">
        <v>1746</v>
      </c>
      <c r="L2" s="88" t="s">
        <v>1745</v>
      </c>
      <c r="M2" s="88" t="s">
        <v>1746</v>
      </c>
      <c r="N2" s="88" t="s">
        <v>1745</v>
      </c>
      <c r="O2" s="88" t="s">
        <v>1746</v>
      </c>
      <c r="P2" s="88" t="s">
        <v>1745</v>
      </c>
      <c r="Q2" s="88" t="s">
        <v>1746</v>
      </c>
      <c r="R2" s="88" t="s">
        <v>1745</v>
      </c>
      <c r="S2" s="88" t="s">
        <v>1746</v>
      </c>
      <c r="T2" s="88" t="s">
        <v>1745</v>
      </c>
      <c r="U2" s="88" t="s">
        <v>1746</v>
      </c>
      <c r="V2" s="88" t="s">
        <v>1745</v>
      </c>
      <c r="W2" s="88" t="s">
        <v>1746</v>
      </c>
      <c r="X2" s="88" t="s">
        <v>1745</v>
      </c>
      <c r="Y2" s="88" t="s">
        <v>1746</v>
      </c>
      <c r="Z2" s="92" t="s">
        <v>1745</v>
      </c>
      <c r="AA2" s="88" t="s">
        <v>1746</v>
      </c>
      <c r="AB2" s="92" t="s">
        <v>1745</v>
      </c>
      <c r="AC2" s="88" t="s">
        <v>1746</v>
      </c>
      <c r="AD2" s="92" t="s">
        <v>1745</v>
      </c>
      <c r="AE2" s="88" t="s">
        <v>1746</v>
      </c>
      <c r="AF2" s="92" t="s">
        <v>1745</v>
      </c>
      <c r="AG2" s="88" t="s">
        <v>1746</v>
      </c>
      <c r="AH2" s="92" t="s">
        <v>1745</v>
      </c>
      <c r="AI2" s="88" t="s">
        <v>1746</v>
      </c>
      <c r="AJ2" s="92" t="s">
        <v>1745</v>
      </c>
      <c r="AK2" s="88" t="s">
        <v>1746</v>
      </c>
      <c r="AL2" s="92" t="s">
        <v>1745</v>
      </c>
      <c r="AM2" s="88" t="s">
        <v>1746</v>
      </c>
    </row>
    <row r="3" s="63" customFormat="1" ht="15" spans="1:39">
      <c r="A3" s="96" t="s">
        <v>1747</v>
      </c>
      <c r="B3" s="97"/>
      <c r="C3" s="98"/>
      <c r="D3" s="98"/>
      <c r="E3" s="98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100"/>
      <c r="AA3" s="99"/>
      <c r="AB3" s="100"/>
      <c r="AC3" s="99"/>
      <c r="AD3" s="100"/>
      <c r="AE3" s="99"/>
      <c r="AF3" s="100"/>
      <c r="AG3" s="99"/>
      <c r="AH3" s="100"/>
      <c r="AI3" s="99"/>
      <c r="AJ3" s="100"/>
      <c r="AK3" s="99"/>
      <c r="AL3" s="100"/>
      <c r="AM3" s="99"/>
    </row>
    <row r="4" s="63" customFormat="1" ht="14.25" spans="1:39">
      <c r="A4" s="101" t="s">
        <v>1748</v>
      </c>
      <c r="B4" s="102" t="s">
        <v>80</v>
      </c>
      <c r="C4" s="98" t="s">
        <v>1749</v>
      </c>
      <c r="D4" s="98" t="s">
        <v>1750</v>
      </c>
      <c r="E4" s="98" t="s">
        <v>1750</v>
      </c>
      <c r="F4" s="99" t="s">
        <v>1751</v>
      </c>
      <c r="G4" s="103">
        <v>420.68</v>
      </c>
      <c r="H4" s="99" t="s">
        <v>1752</v>
      </c>
      <c r="I4" s="99" t="s">
        <v>1753</v>
      </c>
      <c r="J4" s="99" t="s">
        <v>1754</v>
      </c>
      <c r="K4" s="99" t="s">
        <v>1755</v>
      </c>
      <c r="L4" s="99" t="s">
        <v>1756</v>
      </c>
      <c r="M4" s="99" t="s">
        <v>1757</v>
      </c>
      <c r="N4" s="99" t="s">
        <v>1758</v>
      </c>
      <c r="O4" s="99" t="s">
        <v>1759</v>
      </c>
      <c r="P4" s="99"/>
      <c r="Q4" s="99"/>
      <c r="R4" s="99" t="s">
        <v>1760</v>
      </c>
      <c r="S4" s="99" t="s">
        <v>1761</v>
      </c>
      <c r="T4" s="99" t="s">
        <v>1760</v>
      </c>
      <c r="U4" s="99" t="s">
        <v>1761</v>
      </c>
      <c r="V4" s="99"/>
      <c r="W4" s="99"/>
      <c r="X4" s="99"/>
      <c r="Y4" s="99"/>
      <c r="Z4" s="100" t="s">
        <v>1762</v>
      </c>
      <c r="AA4" s="99" t="s">
        <v>1763</v>
      </c>
      <c r="AB4" s="100"/>
      <c r="AC4" s="99"/>
      <c r="AD4" s="100"/>
      <c r="AE4" s="99"/>
      <c r="AF4" s="100"/>
      <c r="AG4" s="99"/>
      <c r="AH4" s="100" t="s">
        <v>1764</v>
      </c>
      <c r="AI4" s="99" t="s">
        <v>1765</v>
      </c>
      <c r="AJ4" s="100" t="s">
        <v>1766</v>
      </c>
      <c r="AK4" s="99" t="s">
        <v>1767</v>
      </c>
      <c r="AL4" s="100"/>
      <c r="AM4" s="99"/>
    </row>
    <row r="5" s="63" customFormat="1" ht="14.25" spans="1:39">
      <c r="A5" s="101" t="s">
        <v>1768</v>
      </c>
      <c r="B5" s="102" t="s">
        <v>253</v>
      </c>
      <c r="C5" s="98" t="s">
        <v>1769</v>
      </c>
      <c r="D5" s="98" t="s">
        <v>1750</v>
      </c>
      <c r="E5" s="98" t="s">
        <v>1750</v>
      </c>
      <c r="F5" s="99" t="s">
        <v>1770</v>
      </c>
      <c r="G5" s="103">
        <v>626.54</v>
      </c>
      <c r="H5" s="99" t="s">
        <v>1771</v>
      </c>
      <c r="I5" s="99" t="s">
        <v>1772</v>
      </c>
      <c r="J5" s="99" t="s">
        <v>1754</v>
      </c>
      <c r="K5" s="99" t="s">
        <v>1773</v>
      </c>
      <c r="L5" s="99" t="s">
        <v>1756</v>
      </c>
      <c r="M5" s="99" t="s">
        <v>1774</v>
      </c>
      <c r="N5" s="99" t="s">
        <v>1775</v>
      </c>
      <c r="O5" s="99" t="s">
        <v>1776</v>
      </c>
      <c r="P5" s="99"/>
      <c r="Q5" s="99"/>
      <c r="R5" s="99" t="s">
        <v>1777</v>
      </c>
      <c r="S5" s="99" t="s">
        <v>1778</v>
      </c>
      <c r="T5" s="99" t="s">
        <v>1760</v>
      </c>
      <c r="U5" s="99" t="s">
        <v>1761</v>
      </c>
      <c r="V5" s="99"/>
      <c r="W5" s="99"/>
      <c r="X5" s="99"/>
      <c r="Y5" s="99"/>
      <c r="Z5" s="100" t="s">
        <v>1762</v>
      </c>
      <c r="AA5" s="99" t="s">
        <v>1779</v>
      </c>
      <c r="AB5" s="100"/>
      <c r="AC5" s="99"/>
      <c r="AD5" s="100"/>
      <c r="AE5" s="99"/>
      <c r="AF5" s="100"/>
      <c r="AG5" s="99"/>
      <c r="AH5" s="100" t="s">
        <v>1764</v>
      </c>
      <c r="AI5" s="99" t="s">
        <v>1780</v>
      </c>
      <c r="AJ5" s="100" t="s">
        <v>1766</v>
      </c>
      <c r="AK5" s="99" t="s">
        <v>1781</v>
      </c>
      <c r="AL5" s="100" t="s">
        <v>1782</v>
      </c>
      <c r="AM5" s="99" t="s">
        <v>1783</v>
      </c>
    </row>
    <row r="6" s="64" customFormat="1" ht="15" spans="1:39">
      <c r="A6" s="104"/>
      <c r="B6" s="97" t="s">
        <v>1784</v>
      </c>
      <c r="C6" s="105"/>
      <c r="D6" s="105"/>
      <c r="E6" s="105"/>
      <c r="F6" s="106" t="s">
        <v>1785</v>
      </c>
      <c r="G6" s="106" t="s">
        <v>1786</v>
      </c>
      <c r="H6" s="106" t="s">
        <v>1787</v>
      </c>
      <c r="I6" s="107"/>
      <c r="J6" s="107"/>
      <c r="K6" s="107" t="s">
        <v>1788</v>
      </c>
      <c r="L6" s="107"/>
      <c r="M6" s="107" t="s">
        <v>1789</v>
      </c>
      <c r="N6" s="107"/>
      <c r="O6" s="107" t="s">
        <v>1790</v>
      </c>
      <c r="P6" s="107"/>
      <c r="Q6" s="107" t="s">
        <v>1791</v>
      </c>
      <c r="R6" s="107"/>
      <c r="S6" s="107" t="s">
        <v>1792</v>
      </c>
      <c r="T6" s="107"/>
      <c r="U6" s="107" t="s">
        <v>1793</v>
      </c>
      <c r="V6" s="107"/>
      <c r="W6" s="107" t="s">
        <v>1791</v>
      </c>
      <c r="X6" s="107"/>
      <c r="Y6" s="107" t="s">
        <v>1791</v>
      </c>
      <c r="Z6" s="108"/>
      <c r="AA6" s="107" t="s">
        <v>1794</v>
      </c>
      <c r="AB6" s="108"/>
      <c r="AC6" s="107" t="s">
        <v>1791</v>
      </c>
      <c r="AD6" s="108"/>
      <c r="AE6" s="107" t="s">
        <v>1791</v>
      </c>
      <c r="AF6" s="108"/>
      <c r="AG6" s="107" t="s">
        <v>1791</v>
      </c>
      <c r="AH6" s="108"/>
      <c r="AI6" s="107" t="s">
        <v>1795</v>
      </c>
      <c r="AJ6" s="108"/>
      <c r="AK6" s="107" t="s">
        <v>1796</v>
      </c>
      <c r="AL6" s="108"/>
      <c r="AM6" s="107" t="s">
        <v>1783</v>
      </c>
    </row>
    <row r="7" s="64" customFormat="1" ht="15" spans="1:39">
      <c r="A7" s="105" t="s">
        <v>1797</v>
      </c>
      <c r="B7" s="105"/>
      <c r="C7" s="105"/>
      <c r="D7" s="105"/>
      <c r="E7" s="105"/>
      <c r="F7" s="107"/>
      <c r="G7" s="109"/>
      <c r="H7" s="109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</row>
    <row r="8" s="65" customFormat="1" ht="15" spans="1:39">
      <c r="A8" s="105"/>
      <c r="B8" s="105" t="s">
        <v>1784</v>
      </c>
      <c r="C8" s="105"/>
      <c r="D8" s="105"/>
      <c r="E8" s="105"/>
      <c r="F8" s="106" t="s">
        <v>1791</v>
      </c>
      <c r="G8" s="106" t="s">
        <v>1791</v>
      </c>
      <c r="H8" s="106" t="s">
        <v>1791</v>
      </c>
      <c r="I8" s="107"/>
      <c r="J8" s="107"/>
      <c r="K8" s="107" t="s">
        <v>1791</v>
      </c>
      <c r="L8" s="107"/>
      <c r="M8" s="107" t="s">
        <v>1791</v>
      </c>
      <c r="N8" s="107"/>
      <c r="O8" s="107" t="s">
        <v>1791</v>
      </c>
      <c r="P8" s="107"/>
      <c r="Q8" s="107" t="s">
        <v>1791</v>
      </c>
      <c r="R8" s="107"/>
      <c r="S8" s="107" t="s">
        <v>1791</v>
      </c>
      <c r="T8" s="107"/>
      <c r="U8" s="107" t="s">
        <v>1791</v>
      </c>
      <c r="V8" s="107"/>
      <c r="W8" s="107" t="s">
        <v>1791</v>
      </c>
      <c r="X8" s="107"/>
      <c r="Y8" s="107" t="s">
        <v>1791</v>
      </c>
      <c r="Z8" s="107"/>
      <c r="AA8" s="107" t="s">
        <v>1791</v>
      </c>
      <c r="AB8" s="107"/>
      <c r="AC8" s="107" t="s">
        <v>1791</v>
      </c>
      <c r="AD8" s="107"/>
      <c r="AE8" s="107" t="s">
        <v>1791</v>
      </c>
      <c r="AF8" s="107"/>
      <c r="AG8" s="107" t="s">
        <v>1791</v>
      </c>
      <c r="AH8" s="107"/>
      <c r="AI8" s="107" t="s">
        <v>1791</v>
      </c>
      <c r="AJ8" s="107"/>
      <c r="AK8" s="107" t="s">
        <v>1791</v>
      </c>
      <c r="AL8" s="107"/>
      <c r="AM8" s="107" t="s">
        <v>1791</v>
      </c>
    </row>
    <row r="9" s="64" customFormat="1" ht="15" spans="1:39">
      <c r="A9" s="105" t="s">
        <v>1798</v>
      </c>
      <c r="B9" s="105"/>
      <c r="C9" s="105"/>
      <c r="D9" s="105"/>
      <c r="E9" s="105"/>
      <c r="F9" s="107"/>
      <c r="G9" s="109"/>
      <c r="H9" s="109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</row>
    <row r="10" s="65" customFormat="1" ht="15" spans="1:39">
      <c r="A10" s="105"/>
      <c r="B10" s="105" t="s">
        <v>1784</v>
      </c>
      <c r="C10" s="105"/>
      <c r="D10" s="105"/>
      <c r="E10" s="105"/>
      <c r="F10" s="106" t="s">
        <v>1791</v>
      </c>
      <c r="G10" s="106" t="s">
        <v>1791</v>
      </c>
      <c r="H10" s="106" t="s">
        <v>1791</v>
      </c>
      <c r="I10" s="107"/>
      <c r="J10" s="107"/>
      <c r="K10" s="107" t="s">
        <v>1791</v>
      </c>
      <c r="L10" s="107"/>
      <c r="M10" s="107" t="s">
        <v>1791</v>
      </c>
      <c r="N10" s="107"/>
      <c r="O10" s="107" t="s">
        <v>1791</v>
      </c>
      <c r="P10" s="107"/>
      <c r="Q10" s="107" t="s">
        <v>1791</v>
      </c>
      <c r="R10" s="107"/>
      <c r="S10" s="107" t="s">
        <v>1791</v>
      </c>
      <c r="T10" s="107"/>
      <c r="U10" s="107" t="s">
        <v>1791</v>
      </c>
      <c r="V10" s="107"/>
      <c r="W10" s="107" t="s">
        <v>1791</v>
      </c>
      <c r="X10" s="107"/>
      <c r="Y10" s="107" t="s">
        <v>1791</v>
      </c>
      <c r="Z10" s="107"/>
      <c r="AA10" s="107" t="s">
        <v>1791</v>
      </c>
      <c r="AB10" s="107"/>
      <c r="AC10" s="107" t="s">
        <v>1791</v>
      </c>
      <c r="AD10" s="107"/>
      <c r="AE10" s="107" t="s">
        <v>1791</v>
      </c>
      <c r="AF10" s="107"/>
      <c r="AG10" s="107" t="s">
        <v>1791</v>
      </c>
      <c r="AH10" s="107"/>
      <c r="AI10" s="107" t="s">
        <v>1791</v>
      </c>
      <c r="AJ10" s="107"/>
      <c r="AK10" s="107" t="s">
        <v>1791</v>
      </c>
      <c r="AL10" s="107"/>
      <c r="AM10" s="107" t="s">
        <v>1791</v>
      </c>
    </row>
    <row r="11" s="13" customFormat="1" spans="1:39">
      <c r="B11" s="13" t="s">
        <v>1799</v>
      </c>
    </row>
    <row r="14" s="62" customFormat="1" ht="28.5" spans="1:39">
      <c r="A14" s="85"/>
      <c r="B14" s="86" t="s">
        <v>1800</v>
      </c>
      <c r="C14" s="87"/>
      <c r="D14" s="85"/>
      <c r="E14" s="85"/>
      <c r="F14" s="88" t="s">
        <v>1723</v>
      </c>
      <c r="G14" s="110" t="s">
        <v>1724</v>
      </c>
      <c r="H14" s="110" t="s">
        <v>1725</v>
      </c>
      <c r="I14" s="88"/>
      <c r="J14" s="90" t="s">
        <v>1726</v>
      </c>
      <c r="K14" s="91"/>
      <c r="L14" s="90" t="s">
        <v>1727</v>
      </c>
      <c r="M14" s="91"/>
      <c r="N14" s="90" t="s">
        <v>1728</v>
      </c>
      <c r="O14" s="91"/>
      <c r="P14" s="90" t="s">
        <v>1729</v>
      </c>
      <c r="Q14" s="91"/>
      <c r="R14" s="90" t="s">
        <v>1730</v>
      </c>
      <c r="S14" s="91"/>
      <c r="T14" s="92" t="s">
        <v>1731</v>
      </c>
      <c r="U14" s="93"/>
      <c r="V14" s="92" t="s">
        <v>1732</v>
      </c>
      <c r="W14" s="93"/>
      <c r="X14" s="92" t="s">
        <v>1733</v>
      </c>
      <c r="Y14" s="93"/>
      <c r="Z14" s="92" t="s">
        <v>1734</v>
      </c>
      <c r="AA14" s="93"/>
      <c r="AB14" s="92" t="s">
        <v>1735</v>
      </c>
      <c r="AC14" s="93"/>
      <c r="AD14" s="90" t="s">
        <v>1736</v>
      </c>
      <c r="AE14" s="91"/>
      <c r="AF14" s="90" t="s">
        <v>1737</v>
      </c>
      <c r="AG14" s="91"/>
      <c r="AH14" s="90" t="s">
        <v>1738</v>
      </c>
      <c r="AI14" s="91"/>
      <c r="AJ14" s="90" t="s">
        <v>1739</v>
      </c>
      <c r="AK14" s="91"/>
      <c r="AL14" s="90" t="s">
        <v>1740</v>
      </c>
      <c r="AM14" s="91"/>
    </row>
    <row r="15" s="62" customFormat="1" ht="15" spans="1:39">
      <c r="A15" s="94" t="s">
        <v>277</v>
      </c>
      <c r="B15" s="94" t="s">
        <v>1</v>
      </c>
      <c r="C15" s="95" t="s">
        <v>1741</v>
      </c>
      <c r="D15" s="94" t="s">
        <v>1742</v>
      </c>
      <c r="E15" s="94" t="s">
        <v>1743</v>
      </c>
      <c r="F15" s="88"/>
      <c r="G15" s="88"/>
      <c r="H15" s="88"/>
      <c r="I15" s="88" t="s">
        <v>1744</v>
      </c>
      <c r="J15" s="88" t="s">
        <v>1745</v>
      </c>
      <c r="K15" s="88" t="s">
        <v>1746</v>
      </c>
      <c r="L15" s="88" t="s">
        <v>1745</v>
      </c>
      <c r="M15" s="88" t="s">
        <v>1746</v>
      </c>
      <c r="N15" s="88" t="s">
        <v>1745</v>
      </c>
      <c r="O15" s="88" t="s">
        <v>1746</v>
      </c>
      <c r="P15" s="88" t="s">
        <v>1745</v>
      </c>
      <c r="Q15" s="88" t="s">
        <v>1746</v>
      </c>
      <c r="R15" s="88" t="s">
        <v>1745</v>
      </c>
      <c r="S15" s="88" t="s">
        <v>1746</v>
      </c>
      <c r="T15" s="88" t="s">
        <v>1745</v>
      </c>
      <c r="U15" s="88" t="s">
        <v>1746</v>
      </c>
      <c r="V15" s="88" t="s">
        <v>1745</v>
      </c>
      <c r="W15" s="88" t="s">
        <v>1746</v>
      </c>
      <c r="X15" s="88" t="s">
        <v>1745</v>
      </c>
      <c r="Y15" s="88" t="s">
        <v>1746</v>
      </c>
      <c r="Z15" s="92" t="s">
        <v>1745</v>
      </c>
      <c r="AA15" s="88" t="s">
        <v>1746</v>
      </c>
      <c r="AB15" s="92" t="s">
        <v>1745</v>
      </c>
      <c r="AC15" s="88" t="s">
        <v>1746</v>
      </c>
      <c r="AD15" s="92" t="s">
        <v>1745</v>
      </c>
      <c r="AE15" s="88" t="s">
        <v>1746</v>
      </c>
      <c r="AF15" s="92" t="s">
        <v>1745</v>
      </c>
      <c r="AG15" s="88" t="s">
        <v>1746</v>
      </c>
      <c r="AH15" s="92" t="s">
        <v>1745</v>
      </c>
      <c r="AI15" s="88" t="s">
        <v>1746</v>
      </c>
      <c r="AJ15" s="92" t="s">
        <v>1745</v>
      </c>
      <c r="AK15" s="88" t="s">
        <v>1746</v>
      </c>
      <c r="AL15" s="92" t="s">
        <v>1745</v>
      </c>
      <c r="AM15" s="88" t="s">
        <v>1746</v>
      </c>
    </row>
    <row r="16" s="63" customFormat="1" ht="15" spans="1:39">
      <c r="A16" s="111" t="s">
        <v>1747</v>
      </c>
      <c r="B16" s="112"/>
      <c r="C16" s="98"/>
      <c r="D16" s="98"/>
      <c r="E16" s="98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100"/>
      <c r="AA16" s="99"/>
      <c r="AB16" s="100"/>
      <c r="AC16" s="99"/>
      <c r="AD16" s="100"/>
      <c r="AE16" s="99"/>
      <c r="AF16" s="100"/>
      <c r="AG16" s="99"/>
      <c r="AH16" s="100"/>
      <c r="AI16" s="99"/>
      <c r="AJ16" s="100"/>
      <c r="AK16" s="99"/>
      <c r="AL16" s="100"/>
      <c r="AM16" s="99"/>
    </row>
    <row r="17" s="63" customFormat="1" ht="14.25" spans="1:39">
      <c r="A17" s="113" t="s">
        <v>1748</v>
      </c>
      <c r="B17" s="114" t="s">
        <v>252</v>
      </c>
      <c r="C17" s="98" t="s">
        <v>1801</v>
      </c>
      <c r="D17" s="98" t="s">
        <v>1750</v>
      </c>
      <c r="E17" s="98" t="s">
        <v>1750</v>
      </c>
      <c r="F17" s="99" t="s">
        <v>1802</v>
      </c>
      <c r="G17" s="103">
        <v>524.14</v>
      </c>
      <c r="H17" s="99" t="s">
        <v>1803</v>
      </c>
      <c r="I17" s="99" t="s">
        <v>1804</v>
      </c>
      <c r="J17" s="99" t="s">
        <v>1754</v>
      </c>
      <c r="K17" s="99" t="s">
        <v>1755</v>
      </c>
      <c r="L17" s="99" t="s">
        <v>1756</v>
      </c>
      <c r="M17" s="99" t="s">
        <v>1757</v>
      </c>
      <c r="N17" s="99" t="s">
        <v>1775</v>
      </c>
      <c r="O17" s="99" t="s">
        <v>1776</v>
      </c>
      <c r="P17" s="99"/>
      <c r="Q17" s="99"/>
      <c r="R17" s="99" t="s">
        <v>1777</v>
      </c>
      <c r="S17" s="99" t="s">
        <v>1778</v>
      </c>
      <c r="T17" s="99" t="s">
        <v>1760</v>
      </c>
      <c r="U17" s="99" t="s">
        <v>1761</v>
      </c>
      <c r="V17" s="99"/>
      <c r="W17" s="99"/>
      <c r="X17" s="99"/>
      <c r="Y17" s="99"/>
      <c r="Z17" s="100" t="s">
        <v>1762</v>
      </c>
      <c r="AA17" s="99" t="s">
        <v>1805</v>
      </c>
      <c r="AB17" s="100"/>
      <c r="AC17" s="99"/>
      <c r="AD17" s="100"/>
      <c r="AE17" s="99"/>
      <c r="AF17" s="100"/>
      <c r="AG17" s="99"/>
      <c r="AH17" s="100" t="s">
        <v>1764</v>
      </c>
      <c r="AI17" s="99" t="s">
        <v>1806</v>
      </c>
      <c r="AJ17" s="100" t="s">
        <v>1766</v>
      </c>
      <c r="AK17" s="99" t="s">
        <v>1807</v>
      </c>
      <c r="AL17" s="100" t="s">
        <v>1782</v>
      </c>
      <c r="AM17" s="99" t="s">
        <v>1808</v>
      </c>
    </row>
    <row r="18" s="66" customFormat="1" ht="15" spans="1:39">
      <c r="A18" s="115"/>
      <c r="B18" s="112" t="s">
        <v>1784</v>
      </c>
      <c r="C18" s="116"/>
      <c r="D18" s="116"/>
      <c r="E18" s="116"/>
      <c r="F18" s="106" t="s">
        <v>1802</v>
      </c>
      <c r="G18" s="106" t="s">
        <v>1809</v>
      </c>
      <c r="H18" s="106" t="s">
        <v>1803</v>
      </c>
      <c r="I18" s="117"/>
      <c r="J18" s="117"/>
      <c r="K18" s="117" t="s">
        <v>1755</v>
      </c>
      <c r="L18" s="117"/>
      <c r="M18" s="117" t="s">
        <v>1757</v>
      </c>
      <c r="N18" s="117"/>
      <c r="O18" s="117" t="s">
        <v>1776</v>
      </c>
      <c r="P18" s="117"/>
      <c r="Q18" s="117" t="s">
        <v>1791</v>
      </c>
      <c r="R18" s="117"/>
      <c r="S18" s="117" t="s">
        <v>1778</v>
      </c>
      <c r="T18" s="117"/>
      <c r="U18" s="117" t="s">
        <v>1761</v>
      </c>
      <c r="V18" s="117"/>
      <c r="W18" s="117" t="s">
        <v>1791</v>
      </c>
      <c r="X18" s="117"/>
      <c r="Y18" s="117" t="s">
        <v>1791</v>
      </c>
      <c r="Z18" s="118"/>
      <c r="AA18" s="117" t="s">
        <v>1805</v>
      </c>
      <c r="AB18" s="118"/>
      <c r="AC18" s="117" t="s">
        <v>1791</v>
      </c>
      <c r="AD18" s="118"/>
      <c r="AE18" s="117" t="s">
        <v>1791</v>
      </c>
      <c r="AF18" s="118"/>
      <c r="AG18" s="117" t="s">
        <v>1791</v>
      </c>
      <c r="AH18" s="118"/>
      <c r="AI18" s="117" t="s">
        <v>1806</v>
      </c>
      <c r="AJ18" s="118"/>
      <c r="AK18" s="117" t="s">
        <v>1807</v>
      </c>
      <c r="AL18" s="118"/>
      <c r="AM18" s="117" t="s">
        <v>1808</v>
      </c>
    </row>
    <row r="19" s="66" customFormat="1" ht="15" spans="1:39">
      <c r="A19" s="116" t="s">
        <v>1797</v>
      </c>
      <c r="B19" s="116"/>
      <c r="C19" s="116"/>
      <c r="D19" s="116"/>
      <c r="E19" s="116"/>
      <c r="F19" s="117"/>
      <c r="G19" s="119"/>
      <c r="H19" s="11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</row>
    <row r="20" s="67" customFormat="1" ht="15" spans="1:39">
      <c r="A20" s="116"/>
      <c r="B20" s="116" t="s">
        <v>1784</v>
      </c>
      <c r="C20" s="116"/>
      <c r="D20" s="116"/>
      <c r="E20" s="116"/>
      <c r="F20" s="106" t="s">
        <v>1791</v>
      </c>
      <c r="G20" s="106" t="s">
        <v>1791</v>
      </c>
      <c r="H20" s="106" t="s">
        <v>1791</v>
      </c>
      <c r="I20" s="117"/>
      <c r="J20" s="117"/>
      <c r="K20" s="117" t="s">
        <v>1791</v>
      </c>
      <c r="L20" s="117"/>
      <c r="M20" s="117" t="s">
        <v>1791</v>
      </c>
      <c r="N20" s="117"/>
      <c r="O20" s="117" t="s">
        <v>1791</v>
      </c>
      <c r="P20" s="117"/>
      <c r="Q20" s="117" t="s">
        <v>1791</v>
      </c>
      <c r="R20" s="117"/>
      <c r="S20" s="117" t="s">
        <v>1791</v>
      </c>
      <c r="T20" s="117"/>
      <c r="U20" s="117" t="s">
        <v>1791</v>
      </c>
      <c r="V20" s="117"/>
      <c r="W20" s="117" t="s">
        <v>1791</v>
      </c>
      <c r="X20" s="117"/>
      <c r="Y20" s="117" t="s">
        <v>1791</v>
      </c>
      <c r="Z20" s="117"/>
      <c r="AA20" s="117" t="s">
        <v>1791</v>
      </c>
      <c r="AB20" s="117"/>
      <c r="AC20" s="117" t="s">
        <v>1791</v>
      </c>
      <c r="AD20" s="117"/>
      <c r="AE20" s="117" t="s">
        <v>1791</v>
      </c>
      <c r="AF20" s="117"/>
      <c r="AG20" s="117" t="s">
        <v>1791</v>
      </c>
      <c r="AH20" s="117"/>
      <c r="AI20" s="117" t="s">
        <v>1791</v>
      </c>
      <c r="AJ20" s="117"/>
      <c r="AK20" s="117" t="s">
        <v>1791</v>
      </c>
      <c r="AL20" s="117"/>
      <c r="AM20" s="117" t="s">
        <v>1791</v>
      </c>
    </row>
    <row r="21" s="66" customFormat="1" ht="15" spans="1:39">
      <c r="A21" s="116" t="s">
        <v>1798</v>
      </c>
      <c r="B21" s="116"/>
      <c r="C21" s="116"/>
      <c r="D21" s="116"/>
      <c r="E21" s="116"/>
      <c r="F21" s="117"/>
      <c r="G21" s="119"/>
      <c r="H21" s="119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</row>
    <row r="22" s="67" customFormat="1" ht="15" spans="1:39">
      <c r="A22" s="116"/>
      <c r="B22" s="116" t="s">
        <v>1784</v>
      </c>
      <c r="C22" s="116"/>
      <c r="D22" s="116"/>
      <c r="E22" s="116"/>
      <c r="F22" s="106" t="s">
        <v>1791</v>
      </c>
      <c r="G22" s="106" t="s">
        <v>1791</v>
      </c>
      <c r="H22" s="106" t="s">
        <v>1791</v>
      </c>
      <c r="I22" s="117"/>
      <c r="J22" s="117"/>
      <c r="K22" s="117" t="s">
        <v>1791</v>
      </c>
      <c r="L22" s="117"/>
      <c r="M22" s="117" t="s">
        <v>1791</v>
      </c>
      <c r="N22" s="117"/>
      <c r="O22" s="117" t="s">
        <v>1791</v>
      </c>
      <c r="P22" s="117"/>
      <c r="Q22" s="117" t="s">
        <v>1791</v>
      </c>
      <c r="R22" s="117"/>
      <c r="S22" s="117" t="s">
        <v>1791</v>
      </c>
      <c r="T22" s="117"/>
      <c r="U22" s="117" t="s">
        <v>1791</v>
      </c>
      <c r="V22" s="117"/>
      <c r="W22" s="117" t="s">
        <v>1791</v>
      </c>
      <c r="X22" s="117"/>
      <c r="Y22" s="117" t="s">
        <v>1791</v>
      </c>
      <c r="Z22" s="117"/>
      <c r="AA22" s="117" t="s">
        <v>1791</v>
      </c>
      <c r="AB22" s="117"/>
      <c r="AC22" s="117" t="s">
        <v>1791</v>
      </c>
      <c r="AD22" s="117"/>
      <c r="AE22" s="117" t="s">
        <v>1791</v>
      </c>
      <c r="AF22" s="117"/>
      <c r="AG22" s="117" t="s">
        <v>1791</v>
      </c>
      <c r="AH22" s="117"/>
      <c r="AI22" s="117" t="s">
        <v>1791</v>
      </c>
      <c r="AJ22" s="117"/>
      <c r="AK22" s="117" t="s">
        <v>1791</v>
      </c>
      <c r="AL22" s="117"/>
      <c r="AM22" s="117" t="s">
        <v>1791</v>
      </c>
    </row>
    <row r="26" s="62" customFormat="1" ht="28.5" spans="1:39">
      <c r="A26" s="85"/>
      <c r="B26" s="86" t="s">
        <v>1810</v>
      </c>
      <c r="C26" s="87"/>
      <c r="D26" s="85"/>
      <c r="E26" s="85"/>
      <c r="F26" s="88" t="s">
        <v>1723</v>
      </c>
      <c r="G26" s="120" t="s">
        <v>1724</v>
      </c>
      <c r="H26" s="120" t="s">
        <v>1725</v>
      </c>
      <c r="I26" s="88"/>
      <c r="J26" s="90" t="s">
        <v>1726</v>
      </c>
      <c r="K26" s="91"/>
      <c r="L26" s="90" t="s">
        <v>1727</v>
      </c>
      <c r="M26" s="91"/>
      <c r="N26" s="90" t="s">
        <v>1728</v>
      </c>
      <c r="O26" s="91"/>
      <c r="P26" s="90" t="s">
        <v>1729</v>
      </c>
      <c r="Q26" s="91"/>
      <c r="R26" s="90" t="s">
        <v>1730</v>
      </c>
      <c r="S26" s="91"/>
      <c r="T26" s="92" t="s">
        <v>1731</v>
      </c>
      <c r="U26" s="93"/>
      <c r="V26" s="92" t="s">
        <v>1732</v>
      </c>
      <c r="W26" s="93"/>
      <c r="X26" s="92" t="s">
        <v>1733</v>
      </c>
      <c r="Y26" s="93"/>
      <c r="Z26" s="92" t="s">
        <v>1734</v>
      </c>
      <c r="AA26" s="93"/>
      <c r="AB26" s="92" t="s">
        <v>1735</v>
      </c>
      <c r="AC26" s="93"/>
      <c r="AD26" s="90" t="s">
        <v>1736</v>
      </c>
      <c r="AE26" s="91"/>
      <c r="AF26" s="90" t="s">
        <v>1737</v>
      </c>
      <c r="AG26" s="91"/>
      <c r="AH26" s="90" t="s">
        <v>1738</v>
      </c>
      <c r="AI26" s="91"/>
      <c r="AJ26" s="90" t="s">
        <v>1739</v>
      </c>
      <c r="AK26" s="91"/>
      <c r="AL26" s="90" t="s">
        <v>1740</v>
      </c>
      <c r="AM26" s="91"/>
    </row>
    <row r="27" s="62" customFormat="1" ht="15" spans="1:39">
      <c r="A27" s="94" t="s">
        <v>277</v>
      </c>
      <c r="B27" s="94" t="s">
        <v>1</v>
      </c>
      <c r="C27" s="95" t="s">
        <v>1741</v>
      </c>
      <c r="D27" s="94" t="s">
        <v>1742</v>
      </c>
      <c r="E27" s="94" t="s">
        <v>1743</v>
      </c>
      <c r="F27" s="88"/>
      <c r="G27" s="88"/>
      <c r="H27" s="88"/>
      <c r="I27" s="88" t="s">
        <v>1744</v>
      </c>
      <c r="J27" s="88" t="s">
        <v>1745</v>
      </c>
      <c r="K27" s="88" t="s">
        <v>1746</v>
      </c>
      <c r="L27" s="88" t="s">
        <v>1745</v>
      </c>
      <c r="M27" s="88" t="s">
        <v>1746</v>
      </c>
      <c r="N27" s="88" t="s">
        <v>1745</v>
      </c>
      <c r="O27" s="88" t="s">
        <v>1746</v>
      </c>
      <c r="P27" s="88" t="s">
        <v>1745</v>
      </c>
      <c r="Q27" s="88" t="s">
        <v>1746</v>
      </c>
      <c r="R27" s="88" t="s">
        <v>1745</v>
      </c>
      <c r="S27" s="88" t="s">
        <v>1746</v>
      </c>
      <c r="T27" s="88" t="s">
        <v>1745</v>
      </c>
      <c r="U27" s="88" t="s">
        <v>1746</v>
      </c>
      <c r="V27" s="88" t="s">
        <v>1745</v>
      </c>
      <c r="W27" s="88" t="s">
        <v>1746</v>
      </c>
      <c r="X27" s="88" t="s">
        <v>1745</v>
      </c>
      <c r="Y27" s="88" t="s">
        <v>1746</v>
      </c>
      <c r="Z27" s="92" t="s">
        <v>1745</v>
      </c>
      <c r="AA27" s="88" t="s">
        <v>1746</v>
      </c>
      <c r="AB27" s="92" t="s">
        <v>1745</v>
      </c>
      <c r="AC27" s="88" t="s">
        <v>1746</v>
      </c>
      <c r="AD27" s="92" t="s">
        <v>1745</v>
      </c>
      <c r="AE27" s="88" t="s">
        <v>1746</v>
      </c>
      <c r="AF27" s="92" t="s">
        <v>1745</v>
      </c>
      <c r="AG27" s="88" t="s">
        <v>1746</v>
      </c>
      <c r="AH27" s="92" t="s">
        <v>1745</v>
      </c>
      <c r="AI27" s="88" t="s">
        <v>1746</v>
      </c>
      <c r="AJ27" s="92" t="s">
        <v>1745</v>
      </c>
      <c r="AK27" s="88" t="s">
        <v>1746</v>
      </c>
      <c r="AL27" s="92" t="s">
        <v>1745</v>
      </c>
      <c r="AM27" s="88" t="s">
        <v>1746</v>
      </c>
    </row>
    <row r="28" s="63" customFormat="1" ht="15" spans="1:39">
      <c r="A28" s="121" t="s">
        <v>1747</v>
      </c>
      <c r="B28" s="122"/>
      <c r="C28" s="98"/>
      <c r="D28" s="98"/>
      <c r="E28" s="98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100"/>
      <c r="AA28" s="99"/>
      <c r="AB28" s="100"/>
      <c r="AC28" s="99"/>
      <c r="AD28" s="100"/>
      <c r="AE28" s="99"/>
      <c r="AF28" s="100"/>
      <c r="AG28" s="99"/>
      <c r="AH28" s="100"/>
      <c r="AI28" s="99"/>
      <c r="AJ28" s="100"/>
      <c r="AK28" s="99"/>
      <c r="AL28" s="100"/>
      <c r="AM28" s="99"/>
    </row>
    <row r="29" s="63" customFormat="1" ht="14.25" spans="1:39">
      <c r="A29" s="123" t="s">
        <v>1748</v>
      </c>
      <c r="B29" s="124" t="s">
        <v>106</v>
      </c>
      <c r="C29" s="98" t="s">
        <v>1811</v>
      </c>
      <c r="D29" s="98" t="s">
        <v>1750</v>
      </c>
      <c r="E29" s="98" t="s">
        <v>1750</v>
      </c>
      <c r="F29" s="99" t="s">
        <v>1751</v>
      </c>
      <c r="G29" s="103">
        <v>420.68</v>
      </c>
      <c r="H29" s="99" t="s">
        <v>1752</v>
      </c>
      <c r="I29" s="99" t="s">
        <v>1753</v>
      </c>
      <c r="J29" s="99" t="s">
        <v>1754</v>
      </c>
      <c r="K29" s="99" t="s">
        <v>1755</v>
      </c>
      <c r="L29" s="99" t="s">
        <v>1756</v>
      </c>
      <c r="M29" s="99" t="s">
        <v>1757</v>
      </c>
      <c r="N29" s="99" t="s">
        <v>1758</v>
      </c>
      <c r="O29" s="99" t="s">
        <v>1759</v>
      </c>
      <c r="P29" s="99"/>
      <c r="Q29" s="99"/>
      <c r="R29" s="99" t="s">
        <v>1760</v>
      </c>
      <c r="S29" s="99" t="s">
        <v>1761</v>
      </c>
      <c r="T29" s="99" t="s">
        <v>1760</v>
      </c>
      <c r="U29" s="99" t="s">
        <v>1761</v>
      </c>
      <c r="V29" s="99"/>
      <c r="W29" s="99"/>
      <c r="X29" s="99"/>
      <c r="Y29" s="99"/>
      <c r="Z29" s="100" t="s">
        <v>1762</v>
      </c>
      <c r="AA29" s="99" t="s">
        <v>1763</v>
      </c>
      <c r="AB29" s="100"/>
      <c r="AC29" s="99"/>
      <c r="AD29" s="100"/>
      <c r="AE29" s="99"/>
      <c r="AF29" s="100"/>
      <c r="AG29" s="99"/>
      <c r="AH29" s="100" t="s">
        <v>1764</v>
      </c>
      <c r="AI29" s="99" t="s">
        <v>1765</v>
      </c>
      <c r="AJ29" s="100" t="s">
        <v>1766</v>
      </c>
      <c r="AK29" s="99" t="s">
        <v>1767</v>
      </c>
      <c r="AL29" s="100"/>
      <c r="AM29" s="99"/>
    </row>
    <row r="30" s="63" customFormat="1" ht="14.25" spans="1:39">
      <c r="A30" s="123" t="s">
        <v>1768</v>
      </c>
      <c r="B30" s="124" t="s">
        <v>103</v>
      </c>
      <c r="C30" s="98" t="s">
        <v>1812</v>
      </c>
      <c r="D30" s="98" t="s">
        <v>1750</v>
      </c>
      <c r="E30" s="98" t="s">
        <v>1750</v>
      </c>
      <c r="F30" s="99" t="s">
        <v>1813</v>
      </c>
      <c r="G30" s="103">
        <v>422.64</v>
      </c>
      <c r="H30" s="99" t="s">
        <v>1814</v>
      </c>
      <c r="I30" s="99" t="s">
        <v>1815</v>
      </c>
      <c r="J30" s="99" t="s">
        <v>1754</v>
      </c>
      <c r="K30" s="99" t="s">
        <v>1755</v>
      </c>
      <c r="L30" s="99" t="s">
        <v>1756</v>
      </c>
      <c r="M30" s="99" t="s">
        <v>1757</v>
      </c>
      <c r="N30" s="99" t="s">
        <v>1758</v>
      </c>
      <c r="O30" s="99" t="s">
        <v>1759</v>
      </c>
      <c r="P30" s="99"/>
      <c r="Q30" s="99"/>
      <c r="R30" s="99" t="s">
        <v>1760</v>
      </c>
      <c r="S30" s="99" t="s">
        <v>1761</v>
      </c>
      <c r="T30" s="99" t="s">
        <v>1760</v>
      </c>
      <c r="U30" s="99" t="s">
        <v>1761</v>
      </c>
      <c r="V30" s="99"/>
      <c r="W30" s="99"/>
      <c r="X30" s="99"/>
      <c r="Y30" s="99"/>
      <c r="Z30" s="100" t="s">
        <v>1762</v>
      </c>
      <c r="AA30" s="99" t="s">
        <v>1816</v>
      </c>
      <c r="AB30" s="100"/>
      <c r="AC30" s="99"/>
      <c r="AD30" s="100"/>
      <c r="AE30" s="99"/>
      <c r="AF30" s="100"/>
      <c r="AG30" s="99"/>
      <c r="AH30" s="100" t="s">
        <v>1764</v>
      </c>
      <c r="AI30" s="99" t="s">
        <v>1817</v>
      </c>
      <c r="AJ30" s="100" t="s">
        <v>1766</v>
      </c>
      <c r="AK30" s="99" t="s">
        <v>1818</v>
      </c>
      <c r="AL30" s="100"/>
      <c r="AM30" s="99"/>
    </row>
    <row r="31" s="63" customFormat="1" ht="14.25" spans="1:39">
      <c r="A31" s="123" t="s">
        <v>1819</v>
      </c>
      <c r="B31" s="124" t="s">
        <v>92</v>
      </c>
      <c r="C31" s="98" t="s">
        <v>1820</v>
      </c>
      <c r="D31" s="98" t="s">
        <v>1750</v>
      </c>
      <c r="E31" s="98" t="s">
        <v>1750</v>
      </c>
      <c r="F31" s="99" t="s">
        <v>1751</v>
      </c>
      <c r="G31" s="103">
        <v>420.68</v>
      </c>
      <c r="H31" s="99" t="s">
        <v>1752</v>
      </c>
      <c r="I31" s="99" t="s">
        <v>1821</v>
      </c>
      <c r="J31" s="99" t="s">
        <v>1754</v>
      </c>
      <c r="K31" s="99" t="s">
        <v>1755</v>
      </c>
      <c r="L31" s="99" t="s">
        <v>1756</v>
      </c>
      <c r="M31" s="99" t="s">
        <v>1757</v>
      </c>
      <c r="N31" s="99" t="s">
        <v>1758</v>
      </c>
      <c r="O31" s="99" t="s">
        <v>1759</v>
      </c>
      <c r="P31" s="99"/>
      <c r="Q31" s="99"/>
      <c r="R31" s="99" t="s">
        <v>1760</v>
      </c>
      <c r="S31" s="99" t="s">
        <v>1761</v>
      </c>
      <c r="T31" s="99" t="s">
        <v>1760</v>
      </c>
      <c r="U31" s="99" t="s">
        <v>1761</v>
      </c>
      <c r="V31" s="99"/>
      <c r="W31" s="99"/>
      <c r="X31" s="99"/>
      <c r="Y31" s="99"/>
      <c r="Z31" s="100" t="s">
        <v>1762</v>
      </c>
      <c r="AA31" s="99" t="s">
        <v>1763</v>
      </c>
      <c r="AB31" s="100"/>
      <c r="AC31" s="99"/>
      <c r="AD31" s="100"/>
      <c r="AE31" s="99"/>
      <c r="AF31" s="100"/>
      <c r="AG31" s="99"/>
      <c r="AH31" s="100" t="s">
        <v>1764</v>
      </c>
      <c r="AI31" s="99" t="s">
        <v>1765</v>
      </c>
      <c r="AJ31" s="100" t="s">
        <v>1766</v>
      </c>
      <c r="AK31" s="99" t="s">
        <v>1767</v>
      </c>
      <c r="AL31" s="100"/>
      <c r="AM31" s="99"/>
    </row>
    <row r="32" s="63" customFormat="1" ht="14.25" spans="1:39">
      <c r="A32" s="123" t="s">
        <v>1822</v>
      </c>
      <c r="B32" s="124" t="s">
        <v>48</v>
      </c>
      <c r="C32" s="98" t="s">
        <v>1823</v>
      </c>
      <c r="D32" s="98" t="s">
        <v>1750</v>
      </c>
      <c r="E32" s="98" t="s">
        <v>1750</v>
      </c>
      <c r="F32" s="99" t="s">
        <v>1751</v>
      </c>
      <c r="G32" s="103">
        <v>420.68</v>
      </c>
      <c r="H32" s="99" t="s">
        <v>1752</v>
      </c>
      <c r="I32" s="99" t="s">
        <v>1753</v>
      </c>
      <c r="J32" s="99" t="s">
        <v>1754</v>
      </c>
      <c r="K32" s="99" t="s">
        <v>1755</v>
      </c>
      <c r="L32" s="99" t="s">
        <v>1756</v>
      </c>
      <c r="M32" s="99" t="s">
        <v>1757</v>
      </c>
      <c r="N32" s="99" t="s">
        <v>1758</v>
      </c>
      <c r="O32" s="99" t="s">
        <v>1759</v>
      </c>
      <c r="P32" s="99"/>
      <c r="Q32" s="99"/>
      <c r="R32" s="99" t="s">
        <v>1760</v>
      </c>
      <c r="S32" s="99" t="s">
        <v>1761</v>
      </c>
      <c r="T32" s="99" t="s">
        <v>1760</v>
      </c>
      <c r="U32" s="99" t="s">
        <v>1761</v>
      </c>
      <c r="V32" s="99"/>
      <c r="W32" s="99"/>
      <c r="X32" s="99"/>
      <c r="Y32" s="99"/>
      <c r="Z32" s="100" t="s">
        <v>1762</v>
      </c>
      <c r="AA32" s="99" t="s">
        <v>1763</v>
      </c>
      <c r="AB32" s="100"/>
      <c r="AC32" s="99"/>
      <c r="AD32" s="100"/>
      <c r="AE32" s="99"/>
      <c r="AF32" s="100"/>
      <c r="AG32" s="99"/>
      <c r="AH32" s="100" t="s">
        <v>1764</v>
      </c>
      <c r="AI32" s="99" t="s">
        <v>1765</v>
      </c>
      <c r="AJ32" s="100" t="s">
        <v>1766</v>
      </c>
      <c r="AK32" s="99" t="s">
        <v>1767</v>
      </c>
      <c r="AL32" s="100"/>
      <c r="AM32" s="99"/>
    </row>
    <row r="33" s="63" customFormat="1" ht="14.25" spans="1:39">
      <c r="A33" s="123" t="s">
        <v>1824</v>
      </c>
      <c r="B33" s="124" t="s">
        <v>78</v>
      </c>
      <c r="C33" s="98" t="s">
        <v>1825</v>
      </c>
      <c r="D33" s="98" t="s">
        <v>1750</v>
      </c>
      <c r="E33" s="98" t="s">
        <v>1750</v>
      </c>
      <c r="F33" s="99" t="s">
        <v>1751</v>
      </c>
      <c r="G33" s="103">
        <v>420.68</v>
      </c>
      <c r="H33" s="99" t="s">
        <v>1752</v>
      </c>
      <c r="I33" s="99" t="s">
        <v>1753</v>
      </c>
      <c r="J33" s="99" t="s">
        <v>1754</v>
      </c>
      <c r="K33" s="99" t="s">
        <v>1755</v>
      </c>
      <c r="L33" s="99" t="s">
        <v>1756</v>
      </c>
      <c r="M33" s="99" t="s">
        <v>1757</v>
      </c>
      <c r="N33" s="99" t="s">
        <v>1758</v>
      </c>
      <c r="O33" s="99" t="s">
        <v>1759</v>
      </c>
      <c r="P33" s="99"/>
      <c r="Q33" s="99"/>
      <c r="R33" s="99" t="s">
        <v>1760</v>
      </c>
      <c r="S33" s="99" t="s">
        <v>1761</v>
      </c>
      <c r="T33" s="99" t="s">
        <v>1760</v>
      </c>
      <c r="U33" s="99" t="s">
        <v>1761</v>
      </c>
      <c r="V33" s="99"/>
      <c r="W33" s="99"/>
      <c r="X33" s="99"/>
      <c r="Y33" s="99"/>
      <c r="Z33" s="100" t="s">
        <v>1762</v>
      </c>
      <c r="AA33" s="99" t="s">
        <v>1763</v>
      </c>
      <c r="AB33" s="100"/>
      <c r="AC33" s="99"/>
      <c r="AD33" s="100"/>
      <c r="AE33" s="99"/>
      <c r="AF33" s="100"/>
      <c r="AG33" s="99"/>
      <c r="AH33" s="100" t="s">
        <v>1764</v>
      </c>
      <c r="AI33" s="99" t="s">
        <v>1765</v>
      </c>
      <c r="AJ33" s="100" t="s">
        <v>1766</v>
      </c>
      <c r="AK33" s="99" t="s">
        <v>1767</v>
      </c>
      <c r="AL33" s="100"/>
      <c r="AM33" s="99"/>
    </row>
    <row r="34" s="63" customFormat="1" ht="14.25" spans="1:39">
      <c r="A34" s="123" t="s">
        <v>1826</v>
      </c>
      <c r="B34" s="124" t="s">
        <v>152</v>
      </c>
      <c r="C34" s="98" t="s">
        <v>1827</v>
      </c>
      <c r="D34" s="98" t="s">
        <v>1750</v>
      </c>
      <c r="E34" s="98" t="s">
        <v>1750</v>
      </c>
      <c r="F34" s="99" t="s">
        <v>1751</v>
      </c>
      <c r="G34" s="103">
        <v>420.68</v>
      </c>
      <c r="H34" s="99" t="s">
        <v>1752</v>
      </c>
      <c r="I34" s="99" t="s">
        <v>1753</v>
      </c>
      <c r="J34" s="99" t="s">
        <v>1754</v>
      </c>
      <c r="K34" s="99" t="s">
        <v>1755</v>
      </c>
      <c r="L34" s="99" t="s">
        <v>1756</v>
      </c>
      <c r="M34" s="99" t="s">
        <v>1757</v>
      </c>
      <c r="N34" s="99" t="s">
        <v>1758</v>
      </c>
      <c r="O34" s="99" t="s">
        <v>1759</v>
      </c>
      <c r="P34" s="99"/>
      <c r="Q34" s="99"/>
      <c r="R34" s="99" t="s">
        <v>1760</v>
      </c>
      <c r="S34" s="99" t="s">
        <v>1761</v>
      </c>
      <c r="T34" s="99" t="s">
        <v>1760</v>
      </c>
      <c r="U34" s="99" t="s">
        <v>1761</v>
      </c>
      <c r="V34" s="99"/>
      <c r="W34" s="99"/>
      <c r="X34" s="99"/>
      <c r="Y34" s="99"/>
      <c r="Z34" s="100" t="s">
        <v>1762</v>
      </c>
      <c r="AA34" s="99" t="s">
        <v>1763</v>
      </c>
      <c r="AB34" s="100"/>
      <c r="AC34" s="99"/>
      <c r="AD34" s="100"/>
      <c r="AE34" s="99"/>
      <c r="AF34" s="100"/>
      <c r="AG34" s="99"/>
      <c r="AH34" s="100" t="s">
        <v>1764</v>
      </c>
      <c r="AI34" s="99" t="s">
        <v>1765</v>
      </c>
      <c r="AJ34" s="100" t="s">
        <v>1766</v>
      </c>
      <c r="AK34" s="99" t="s">
        <v>1767</v>
      </c>
      <c r="AL34" s="100"/>
      <c r="AM34" s="99"/>
    </row>
    <row r="35" s="63" customFormat="1" ht="14.25" spans="1:39">
      <c r="A35" s="123" t="s">
        <v>1828</v>
      </c>
      <c r="B35" s="124" t="s">
        <v>26</v>
      </c>
      <c r="C35" s="98" t="s">
        <v>1829</v>
      </c>
      <c r="D35" s="98" t="s">
        <v>1750</v>
      </c>
      <c r="E35" s="98" t="s">
        <v>1750</v>
      </c>
      <c r="F35" s="99" t="s">
        <v>1751</v>
      </c>
      <c r="G35" s="103">
        <v>420.68</v>
      </c>
      <c r="H35" s="99" t="s">
        <v>1752</v>
      </c>
      <c r="I35" s="99" t="s">
        <v>1753</v>
      </c>
      <c r="J35" s="99" t="s">
        <v>1754</v>
      </c>
      <c r="K35" s="99" t="s">
        <v>1755</v>
      </c>
      <c r="L35" s="99" t="s">
        <v>1756</v>
      </c>
      <c r="M35" s="99" t="s">
        <v>1757</v>
      </c>
      <c r="N35" s="99" t="s">
        <v>1758</v>
      </c>
      <c r="O35" s="99" t="s">
        <v>1759</v>
      </c>
      <c r="P35" s="99"/>
      <c r="Q35" s="99"/>
      <c r="R35" s="99" t="s">
        <v>1760</v>
      </c>
      <c r="S35" s="99" t="s">
        <v>1761</v>
      </c>
      <c r="T35" s="99" t="s">
        <v>1760</v>
      </c>
      <c r="U35" s="99" t="s">
        <v>1761</v>
      </c>
      <c r="V35" s="99"/>
      <c r="W35" s="99"/>
      <c r="X35" s="99"/>
      <c r="Y35" s="99"/>
      <c r="Z35" s="100" t="s">
        <v>1762</v>
      </c>
      <c r="AA35" s="99" t="s">
        <v>1763</v>
      </c>
      <c r="AB35" s="100"/>
      <c r="AC35" s="99"/>
      <c r="AD35" s="100"/>
      <c r="AE35" s="99"/>
      <c r="AF35" s="100"/>
      <c r="AG35" s="99"/>
      <c r="AH35" s="100" t="s">
        <v>1764</v>
      </c>
      <c r="AI35" s="99" t="s">
        <v>1765</v>
      </c>
      <c r="AJ35" s="100" t="s">
        <v>1766</v>
      </c>
      <c r="AK35" s="99" t="s">
        <v>1767</v>
      </c>
      <c r="AL35" s="100"/>
      <c r="AM35" s="99"/>
    </row>
    <row r="36" s="63" customFormat="1" ht="14.25" spans="1:39">
      <c r="A36" s="123" t="s">
        <v>1830</v>
      </c>
      <c r="B36" s="124" t="s">
        <v>255</v>
      </c>
      <c r="C36" s="98" t="s">
        <v>1831</v>
      </c>
      <c r="D36" s="98" t="s">
        <v>1750</v>
      </c>
      <c r="E36" s="98" t="s">
        <v>1750</v>
      </c>
      <c r="F36" s="99" t="s">
        <v>1813</v>
      </c>
      <c r="G36" s="103">
        <v>422.64</v>
      </c>
      <c r="H36" s="99" t="s">
        <v>1814</v>
      </c>
      <c r="I36" s="99" t="s">
        <v>1815</v>
      </c>
      <c r="J36" s="99" t="s">
        <v>1754</v>
      </c>
      <c r="K36" s="99" t="s">
        <v>1755</v>
      </c>
      <c r="L36" s="99" t="s">
        <v>1756</v>
      </c>
      <c r="M36" s="99" t="s">
        <v>1757</v>
      </c>
      <c r="N36" s="99" t="s">
        <v>1758</v>
      </c>
      <c r="O36" s="99" t="s">
        <v>1759</v>
      </c>
      <c r="P36" s="99"/>
      <c r="Q36" s="99"/>
      <c r="R36" s="99" t="s">
        <v>1760</v>
      </c>
      <c r="S36" s="99" t="s">
        <v>1761</v>
      </c>
      <c r="T36" s="99" t="s">
        <v>1760</v>
      </c>
      <c r="U36" s="99" t="s">
        <v>1761</v>
      </c>
      <c r="V36" s="99"/>
      <c r="W36" s="99"/>
      <c r="X36" s="99"/>
      <c r="Y36" s="99"/>
      <c r="Z36" s="100" t="s">
        <v>1762</v>
      </c>
      <c r="AA36" s="99" t="s">
        <v>1816</v>
      </c>
      <c r="AB36" s="100"/>
      <c r="AC36" s="99"/>
      <c r="AD36" s="100"/>
      <c r="AE36" s="99"/>
      <c r="AF36" s="100"/>
      <c r="AG36" s="99"/>
      <c r="AH36" s="100" t="s">
        <v>1764</v>
      </c>
      <c r="AI36" s="99" t="s">
        <v>1817</v>
      </c>
      <c r="AJ36" s="100" t="s">
        <v>1766</v>
      </c>
      <c r="AK36" s="99" t="s">
        <v>1818</v>
      </c>
      <c r="AL36" s="100"/>
      <c r="AM36" s="99"/>
    </row>
    <row r="37" s="63" customFormat="1" ht="14.25" spans="1:39">
      <c r="A37" s="123" t="s">
        <v>1832</v>
      </c>
      <c r="B37" s="124" t="s">
        <v>247</v>
      </c>
      <c r="C37" s="98" t="s">
        <v>1833</v>
      </c>
      <c r="D37" s="98" t="s">
        <v>1750</v>
      </c>
      <c r="E37" s="98" t="s">
        <v>1750</v>
      </c>
      <c r="F37" s="99" t="s">
        <v>1834</v>
      </c>
      <c r="G37" s="103">
        <v>626.54</v>
      </c>
      <c r="H37" s="99" t="s">
        <v>1835</v>
      </c>
      <c r="I37" s="99" t="s">
        <v>1772</v>
      </c>
      <c r="J37" s="99" t="s">
        <v>1754</v>
      </c>
      <c r="K37" s="99" t="s">
        <v>1773</v>
      </c>
      <c r="L37" s="99" t="s">
        <v>1756</v>
      </c>
      <c r="M37" s="99" t="s">
        <v>1774</v>
      </c>
      <c r="N37" s="99" t="s">
        <v>1775</v>
      </c>
      <c r="O37" s="99" t="s">
        <v>1776</v>
      </c>
      <c r="P37" s="99"/>
      <c r="Q37" s="99"/>
      <c r="R37" s="99" t="s">
        <v>1777</v>
      </c>
      <c r="S37" s="99" t="s">
        <v>1778</v>
      </c>
      <c r="T37" s="99" t="s">
        <v>1760</v>
      </c>
      <c r="U37" s="99" t="s">
        <v>1761</v>
      </c>
      <c r="V37" s="99"/>
      <c r="W37" s="99"/>
      <c r="X37" s="99"/>
      <c r="Y37" s="99"/>
      <c r="Z37" s="100" t="s">
        <v>1762</v>
      </c>
      <c r="AA37" s="99" t="s">
        <v>1779</v>
      </c>
      <c r="AB37" s="100"/>
      <c r="AC37" s="99"/>
      <c r="AD37" s="100"/>
      <c r="AE37" s="99"/>
      <c r="AF37" s="100"/>
      <c r="AG37" s="99"/>
      <c r="AH37" s="100" t="s">
        <v>1764</v>
      </c>
      <c r="AI37" s="99" t="s">
        <v>1780</v>
      </c>
      <c r="AJ37" s="100" t="s">
        <v>1766</v>
      </c>
      <c r="AK37" s="99" t="s">
        <v>1781</v>
      </c>
      <c r="AL37" s="100"/>
      <c r="AM37" s="99"/>
    </row>
    <row r="38" s="63" customFormat="1" ht="14.25" spans="1:39">
      <c r="A38" s="123" t="s">
        <v>1836</v>
      </c>
      <c r="B38" s="124" t="s">
        <v>127</v>
      </c>
      <c r="C38" s="98" t="s">
        <v>1837</v>
      </c>
      <c r="D38" s="98" t="s">
        <v>1750</v>
      </c>
      <c r="E38" s="98" t="s">
        <v>1750</v>
      </c>
      <c r="F38" s="99" t="s">
        <v>1751</v>
      </c>
      <c r="G38" s="103">
        <v>420.68</v>
      </c>
      <c r="H38" s="99" t="s">
        <v>1752</v>
      </c>
      <c r="I38" s="99" t="s">
        <v>1753</v>
      </c>
      <c r="J38" s="99" t="s">
        <v>1754</v>
      </c>
      <c r="K38" s="99" t="s">
        <v>1755</v>
      </c>
      <c r="L38" s="99" t="s">
        <v>1756</v>
      </c>
      <c r="M38" s="99" t="s">
        <v>1757</v>
      </c>
      <c r="N38" s="99" t="s">
        <v>1758</v>
      </c>
      <c r="O38" s="99" t="s">
        <v>1759</v>
      </c>
      <c r="P38" s="99"/>
      <c r="Q38" s="99"/>
      <c r="R38" s="99" t="s">
        <v>1760</v>
      </c>
      <c r="S38" s="99" t="s">
        <v>1761</v>
      </c>
      <c r="T38" s="99" t="s">
        <v>1760</v>
      </c>
      <c r="U38" s="99" t="s">
        <v>1761</v>
      </c>
      <c r="V38" s="99"/>
      <c r="W38" s="99"/>
      <c r="X38" s="99"/>
      <c r="Y38" s="99"/>
      <c r="Z38" s="100" t="s">
        <v>1762</v>
      </c>
      <c r="AA38" s="99" t="s">
        <v>1763</v>
      </c>
      <c r="AB38" s="100"/>
      <c r="AC38" s="99"/>
      <c r="AD38" s="100"/>
      <c r="AE38" s="99"/>
      <c r="AF38" s="100"/>
      <c r="AG38" s="99"/>
      <c r="AH38" s="100" t="s">
        <v>1764</v>
      </c>
      <c r="AI38" s="99" t="s">
        <v>1765</v>
      </c>
      <c r="AJ38" s="100" t="s">
        <v>1766</v>
      </c>
      <c r="AK38" s="99" t="s">
        <v>1767</v>
      </c>
      <c r="AL38" s="100"/>
      <c r="AM38" s="99"/>
    </row>
    <row r="39" s="63" customFormat="1" ht="14.25" spans="1:39">
      <c r="A39" s="123" t="s">
        <v>1838</v>
      </c>
      <c r="B39" s="124" t="s">
        <v>98</v>
      </c>
      <c r="C39" s="98" t="s">
        <v>1839</v>
      </c>
      <c r="D39" s="98" t="s">
        <v>1750</v>
      </c>
      <c r="E39" s="98" t="s">
        <v>1750</v>
      </c>
      <c r="F39" s="99" t="s">
        <v>1751</v>
      </c>
      <c r="G39" s="103">
        <v>420.68</v>
      </c>
      <c r="H39" s="99" t="s">
        <v>1752</v>
      </c>
      <c r="I39" s="99" t="s">
        <v>1753</v>
      </c>
      <c r="J39" s="99" t="s">
        <v>1754</v>
      </c>
      <c r="K39" s="99" t="s">
        <v>1755</v>
      </c>
      <c r="L39" s="99" t="s">
        <v>1756</v>
      </c>
      <c r="M39" s="99" t="s">
        <v>1757</v>
      </c>
      <c r="N39" s="99" t="s">
        <v>1758</v>
      </c>
      <c r="O39" s="99" t="s">
        <v>1759</v>
      </c>
      <c r="P39" s="99"/>
      <c r="Q39" s="99"/>
      <c r="R39" s="99" t="s">
        <v>1760</v>
      </c>
      <c r="S39" s="99" t="s">
        <v>1761</v>
      </c>
      <c r="T39" s="99" t="s">
        <v>1760</v>
      </c>
      <c r="U39" s="99" t="s">
        <v>1761</v>
      </c>
      <c r="V39" s="99"/>
      <c r="W39" s="99"/>
      <c r="X39" s="99"/>
      <c r="Y39" s="99"/>
      <c r="Z39" s="100" t="s">
        <v>1762</v>
      </c>
      <c r="AA39" s="99" t="s">
        <v>1763</v>
      </c>
      <c r="AB39" s="100"/>
      <c r="AC39" s="99"/>
      <c r="AD39" s="100"/>
      <c r="AE39" s="99"/>
      <c r="AF39" s="100"/>
      <c r="AG39" s="99"/>
      <c r="AH39" s="100" t="s">
        <v>1764</v>
      </c>
      <c r="AI39" s="99" t="s">
        <v>1765</v>
      </c>
      <c r="AJ39" s="100" t="s">
        <v>1766</v>
      </c>
      <c r="AK39" s="99" t="s">
        <v>1767</v>
      </c>
      <c r="AL39" s="100"/>
      <c r="AM39" s="99"/>
    </row>
    <row r="40" s="68" customFormat="1" ht="15" spans="1:39">
      <c r="A40" s="125"/>
      <c r="B40" s="122" t="s">
        <v>1784</v>
      </c>
      <c r="C40" s="126"/>
      <c r="D40" s="126"/>
      <c r="E40" s="126"/>
      <c r="F40" s="106" t="s">
        <v>1840</v>
      </c>
      <c r="G40" s="106" t="s">
        <v>1841</v>
      </c>
      <c r="H40" s="106" t="s">
        <v>1842</v>
      </c>
      <c r="I40" s="127"/>
      <c r="J40" s="127"/>
      <c r="K40" s="127" t="s">
        <v>1843</v>
      </c>
      <c r="L40" s="127"/>
      <c r="M40" s="127" t="s">
        <v>1844</v>
      </c>
      <c r="N40" s="127"/>
      <c r="O40" s="127" t="s">
        <v>1845</v>
      </c>
      <c r="P40" s="127"/>
      <c r="Q40" s="127" t="s">
        <v>1791</v>
      </c>
      <c r="R40" s="127"/>
      <c r="S40" s="127" t="s">
        <v>1846</v>
      </c>
      <c r="T40" s="127"/>
      <c r="U40" s="127" t="s">
        <v>1847</v>
      </c>
      <c r="V40" s="127"/>
      <c r="W40" s="127" t="s">
        <v>1791</v>
      </c>
      <c r="X40" s="127"/>
      <c r="Y40" s="127" t="s">
        <v>1791</v>
      </c>
      <c r="Z40" s="128"/>
      <c r="AA40" s="127" t="s">
        <v>1848</v>
      </c>
      <c r="AB40" s="128"/>
      <c r="AC40" s="127" t="s">
        <v>1791</v>
      </c>
      <c r="AD40" s="128"/>
      <c r="AE40" s="127" t="s">
        <v>1791</v>
      </c>
      <c r="AF40" s="128"/>
      <c r="AG40" s="127" t="s">
        <v>1791</v>
      </c>
      <c r="AH40" s="128"/>
      <c r="AI40" s="127" t="s">
        <v>1849</v>
      </c>
      <c r="AJ40" s="128"/>
      <c r="AK40" s="127" t="s">
        <v>1850</v>
      </c>
      <c r="AL40" s="128"/>
      <c r="AM40" s="127" t="s">
        <v>1791</v>
      </c>
    </row>
    <row r="41" s="68" customFormat="1" ht="15" spans="1:39">
      <c r="A41" s="126" t="s">
        <v>1797</v>
      </c>
      <c r="B41" s="126"/>
      <c r="C41" s="126"/>
      <c r="D41" s="126"/>
      <c r="E41" s="126"/>
      <c r="F41" s="127"/>
      <c r="G41" s="129"/>
      <c r="H41" s="129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</row>
    <row r="42" s="69" customFormat="1" ht="15" spans="1:39">
      <c r="A42" s="126"/>
      <c r="B42" s="126" t="s">
        <v>1784</v>
      </c>
      <c r="C42" s="126"/>
      <c r="D42" s="126"/>
      <c r="E42" s="126"/>
      <c r="F42" s="106" t="s">
        <v>1791</v>
      </c>
      <c r="G42" s="106" t="s">
        <v>1791</v>
      </c>
      <c r="H42" s="106" t="s">
        <v>1791</v>
      </c>
      <c r="I42" s="127"/>
      <c r="J42" s="127"/>
      <c r="K42" s="127" t="s">
        <v>1791</v>
      </c>
      <c r="L42" s="127"/>
      <c r="M42" s="127" t="s">
        <v>1791</v>
      </c>
      <c r="N42" s="127"/>
      <c r="O42" s="127" t="s">
        <v>1791</v>
      </c>
      <c r="P42" s="127"/>
      <c r="Q42" s="127" t="s">
        <v>1791</v>
      </c>
      <c r="R42" s="127"/>
      <c r="S42" s="127" t="s">
        <v>1791</v>
      </c>
      <c r="T42" s="127"/>
      <c r="U42" s="127" t="s">
        <v>1791</v>
      </c>
      <c r="V42" s="127"/>
      <c r="W42" s="127" t="s">
        <v>1791</v>
      </c>
      <c r="X42" s="127"/>
      <c r="Y42" s="127" t="s">
        <v>1791</v>
      </c>
      <c r="Z42" s="127"/>
      <c r="AA42" s="127" t="s">
        <v>1791</v>
      </c>
      <c r="AB42" s="127"/>
      <c r="AC42" s="127" t="s">
        <v>1791</v>
      </c>
      <c r="AD42" s="127"/>
      <c r="AE42" s="127" t="s">
        <v>1791</v>
      </c>
      <c r="AF42" s="127"/>
      <c r="AG42" s="127" t="s">
        <v>1791</v>
      </c>
      <c r="AH42" s="127"/>
      <c r="AI42" s="127" t="s">
        <v>1791</v>
      </c>
      <c r="AJ42" s="127"/>
      <c r="AK42" s="127" t="s">
        <v>1791</v>
      </c>
      <c r="AL42" s="127"/>
      <c r="AM42" s="127" t="s">
        <v>1791</v>
      </c>
    </row>
    <row r="43" s="68" customFormat="1" ht="15" spans="1:39">
      <c r="A43" s="126" t="s">
        <v>1798</v>
      </c>
      <c r="B43" s="126"/>
      <c r="C43" s="126"/>
      <c r="D43" s="126"/>
      <c r="E43" s="126"/>
      <c r="F43" s="127"/>
      <c r="G43" s="129"/>
      <c r="H43" s="129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</row>
    <row r="44" s="69" customFormat="1" ht="15" spans="1:39">
      <c r="A44" s="126"/>
      <c r="B44" s="126" t="s">
        <v>1784</v>
      </c>
      <c r="C44" s="126"/>
      <c r="D44" s="126"/>
      <c r="E44" s="126"/>
      <c r="F44" s="106" t="s">
        <v>1791</v>
      </c>
      <c r="G44" s="106" t="s">
        <v>1791</v>
      </c>
      <c r="H44" s="106" t="s">
        <v>1791</v>
      </c>
      <c r="I44" s="127"/>
      <c r="J44" s="127"/>
      <c r="K44" s="127" t="s">
        <v>1791</v>
      </c>
      <c r="L44" s="127"/>
      <c r="M44" s="127" t="s">
        <v>1791</v>
      </c>
      <c r="N44" s="127"/>
      <c r="O44" s="127" t="s">
        <v>1791</v>
      </c>
      <c r="P44" s="127"/>
      <c r="Q44" s="127" t="s">
        <v>1791</v>
      </c>
      <c r="R44" s="127"/>
      <c r="S44" s="127" t="s">
        <v>1791</v>
      </c>
      <c r="T44" s="127"/>
      <c r="U44" s="127" t="s">
        <v>1791</v>
      </c>
      <c r="V44" s="127"/>
      <c r="W44" s="127" t="s">
        <v>1791</v>
      </c>
      <c r="X44" s="127"/>
      <c r="Y44" s="127" t="s">
        <v>1791</v>
      </c>
      <c r="Z44" s="127"/>
      <c r="AA44" s="127" t="s">
        <v>1791</v>
      </c>
      <c r="AB44" s="127"/>
      <c r="AC44" s="127" t="s">
        <v>1791</v>
      </c>
      <c r="AD44" s="127"/>
      <c r="AE44" s="127" t="s">
        <v>1791</v>
      </c>
      <c r="AF44" s="127"/>
      <c r="AG44" s="127" t="s">
        <v>1791</v>
      </c>
      <c r="AH44" s="127"/>
      <c r="AI44" s="127" t="s">
        <v>1791</v>
      </c>
      <c r="AJ44" s="127"/>
      <c r="AK44" s="127" t="s">
        <v>1791</v>
      </c>
      <c r="AL44" s="127"/>
      <c r="AM44" s="127" t="s">
        <v>1791</v>
      </c>
    </row>
    <row r="45" s="13" customFormat="1" spans="1:39">
      <c r="B45" s="13" t="s">
        <v>1851</v>
      </c>
    </row>
    <row r="49" s="70" customFormat="1" ht="28.5" spans="1:39">
      <c r="A49" s="130"/>
      <c r="B49" s="86" t="s">
        <v>1852</v>
      </c>
      <c r="C49" s="131"/>
      <c r="D49" s="130"/>
      <c r="E49" s="130"/>
      <c r="F49" s="132" t="s">
        <v>1723</v>
      </c>
      <c r="G49" s="133" t="s">
        <v>1724</v>
      </c>
      <c r="H49" s="133" t="s">
        <v>1725</v>
      </c>
      <c r="I49" s="132"/>
      <c r="J49" s="134" t="s">
        <v>1726</v>
      </c>
      <c r="K49" s="135"/>
      <c r="L49" s="134" t="s">
        <v>1727</v>
      </c>
      <c r="M49" s="135"/>
      <c r="N49" s="134" t="s">
        <v>1728</v>
      </c>
      <c r="O49" s="135"/>
      <c r="P49" s="134" t="s">
        <v>1729</v>
      </c>
      <c r="Q49" s="135"/>
      <c r="R49" s="134" t="s">
        <v>1730</v>
      </c>
      <c r="S49" s="135"/>
      <c r="T49" s="136" t="s">
        <v>1731</v>
      </c>
      <c r="U49" s="137"/>
      <c r="V49" s="136" t="s">
        <v>1732</v>
      </c>
      <c r="W49" s="137"/>
      <c r="X49" s="136" t="s">
        <v>1733</v>
      </c>
      <c r="Y49" s="137"/>
      <c r="Z49" s="136" t="s">
        <v>1734</v>
      </c>
      <c r="AA49" s="137"/>
      <c r="AB49" s="136" t="s">
        <v>1735</v>
      </c>
      <c r="AC49" s="137"/>
      <c r="AD49" s="134" t="s">
        <v>1736</v>
      </c>
      <c r="AE49" s="135"/>
      <c r="AF49" s="134" t="s">
        <v>1737</v>
      </c>
      <c r="AG49" s="135"/>
      <c r="AH49" s="134" t="s">
        <v>1738</v>
      </c>
      <c r="AI49" s="135"/>
      <c r="AJ49" s="134" t="s">
        <v>1739</v>
      </c>
      <c r="AK49" s="135"/>
      <c r="AL49" s="134" t="s">
        <v>1740</v>
      </c>
      <c r="AM49" s="135"/>
    </row>
    <row r="50" s="70" customFormat="1" spans="1:39">
      <c r="A50" s="138" t="s">
        <v>277</v>
      </c>
      <c r="B50" s="138" t="s">
        <v>1</v>
      </c>
      <c r="C50" s="23" t="s">
        <v>1741</v>
      </c>
      <c r="D50" s="138" t="s">
        <v>1742</v>
      </c>
      <c r="E50" s="138" t="s">
        <v>1743</v>
      </c>
      <c r="F50" s="132"/>
      <c r="G50" s="132"/>
      <c r="H50" s="132"/>
      <c r="I50" s="132" t="s">
        <v>1744</v>
      </c>
      <c r="J50" s="132" t="s">
        <v>1745</v>
      </c>
      <c r="K50" s="132" t="s">
        <v>1746</v>
      </c>
      <c r="L50" s="132" t="s">
        <v>1745</v>
      </c>
      <c r="M50" s="132" t="s">
        <v>1746</v>
      </c>
      <c r="N50" s="132" t="s">
        <v>1745</v>
      </c>
      <c r="O50" s="132" t="s">
        <v>1746</v>
      </c>
      <c r="P50" s="132" t="s">
        <v>1745</v>
      </c>
      <c r="Q50" s="132" t="s">
        <v>1746</v>
      </c>
      <c r="R50" s="132" t="s">
        <v>1745</v>
      </c>
      <c r="S50" s="132" t="s">
        <v>1746</v>
      </c>
      <c r="T50" s="132" t="s">
        <v>1745</v>
      </c>
      <c r="U50" s="132" t="s">
        <v>1746</v>
      </c>
      <c r="V50" s="132" t="s">
        <v>1745</v>
      </c>
      <c r="W50" s="132" t="s">
        <v>1746</v>
      </c>
      <c r="X50" s="132" t="s">
        <v>1745</v>
      </c>
      <c r="Y50" s="132" t="s">
        <v>1746</v>
      </c>
      <c r="Z50" s="136" t="s">
        <v>1745</v>
      </c>
      <c r="AA50" s="132" t="s">
        <v>1746</v>
      </c>
      <c r="AB50" s="136" t="s">
        <v>1745</v>
      </c>
      <c r="AC50" s="132" t="s">
        <v>1746</v>
      </c>
      <c r="AD50" s="136" t="s">
        <v>1745</v>
      </c>
      <c r="AE50" s="132" t="s">
        <v>1746</v>
      </c>
      <c r="AF50" s="136" t="s">
        <v>1745</v>
      </c>
      <c r="AG50" s="132" t="s">
        <v>1746</v>
      </c>
      <c r="AH50" s="136" t="s">
        <v>1745</v>
      </c>
      <c r="AI50" s="132" t="s">
        <v>1746</v>
      </c>
      <c r="AJ50" s="136" t="s">
        <v>1745</v>
      </c>
      <c r="AK50" s="132" t="s">
        <v>1746</v>
      </c>
      <c r="AL50" s="136" t="s">
        <v>1745</v>
      </c>
      <c r="AM50" s="132" t="s">
        <v>1746</v>
      </c>
    </row>
    <row r="51" s="71" customFormat="1" spans="1:39">
      <c r="A51" s="139" t="s">
        <v>1747</v>
      </c>
      <c r="B51" s="140"/>
      <c r="C51" s="141"/>
      <c r="D51" s="141"/>
      <c r="E51" s="141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3"/>
      <c r="AA51" s="142"/>
      <c r="AB51" s="143"/>
      <c r="AC51" s="142"/>
      <c r="AD51" s="143"/>
      <c r="AE51" s="142"/>
      <c r="AF51" s="143"/>
      <c r="AG51" s="142"/>
      <c r="AH51" s="143"/>
      <c r="AI51" s="142"/>
      <c r="AJ51" s="143"/>
      <c r="AK51" s="142"/>
      <c r="AL51" s="143"/>
      <c r="AM51" s="142"/>
    </row>
    <row r="52" s="71" customFormat="1" spans="1:39">
      <c r="A52" s="144" t="s">
        <v>1748</v>
      </c>
      <c r="B52" s="145" t="s">
        <v>125</v>
      </c>
      <c r="C52" s="141" t="s">
        <v>1853</v>
      </c>
      <c r="D52" s="141" t="s">
        <v>1750</v>
      </c>
      <c r="E52" s="141" t="s">
        <v>1750</v>
      </c>
      <c r="F52" s="142" t="s">
        <v>1751</v>
      </c>
      <c r="G52" s="146">
        <v>420.68</v>
      </c>
      <c r="H52" s="142" t="s">
        <v>1752</v>
      </c>
      <c r="I52" s="142" t="s">
        <v>1753</v>
      </c>
      <c r="J52" s="142" t="s">
        <v>1754</v>
      </c>
      <c r="K52" s="142" t="s">
        <v>1755</v>
      </c>
      <c r="L52" s="142" t="s">
        <v>1756</v>
      </c>
      <c r="M52" s="142" t="s">
        <v>1757</v>
      </c>
      <c r="N52" s="142" t="s">
        <v>1758</v>
      </c>
      <c r="O52" s="142" t="s">
        <v>1759</v>
      </c>
      <c r="P52" s="142"/>
      <c r="Q52" s="142"/>
      <c r="R52" s="142" t="s">
        <v>1760</v>
      </c>
      <c r="S52" s="142" t="s">
        <v>1761</v>
      </c>
      <c r="T52" s="142" t="s">
        <v>1760</v>
      </c>
      <c r="U52" s="142" t="s">
        <v>1761</v>
      </c>
      <c r="V52" s="142"/>
      <c r="W52" s="142"/>
      <c r="X52" s="142"/>
      <c r="Y52" s="142"/>
      <c r="Z52" s="143" t="s">
        <v>1762</v>
      </c>
      <c r="AA52" s="142" t="s">
        <v>1763</v>
      </c>
      <c r="AB52" s="143"/>
      <c r="AC52" s="142"/>
      <c r="AD52" s="143"/>
      <c r="AE52" s="142"/>
      <c r="AF52" s="143"/>
      <c r="AG52" s="142"/>
      <c r="AH52" s="143" t="s">
        <v>1764</v>
      </c>
      <c r="AI52" s="142" t="s">
        <v>1765</v>
      </c>
      <c r="AJ52" s="143" t="s">
        <v>1766</v>
      </c>
      <c r="AK52" s="142" t="s">
        <v>1767</v>
      </c>
      <c r="AL52" s="143"/>
      <c r="AM52" s="142"/>
    </row>
    <row r="53" s="71" customFormat="1" spans="1:39">
      <c r="A53" s="144" t="s">
        <v>1768</v>
      </c>
      <c r="B53" s="145" t="s">
        <v>59</v>
      </c>
      <c r="C53" s="141" t="s">
        <v>1854</v>
      </c>
      <c r="D53" s="141" t="s">
        <v>1750</v>
      </c>
      <c r="E53" s="141" t="s">
        <v>1750</v>
      </c>
      <c r="F53" s="142" t="s">
        <v>1751</v>
      </c>
      <c r="G53" s="146">
        <v>420.68</v>
      </c>
      <c r="H53" s="142" t="s">
        <v>1752</v>
      </c>
      <c r="I53" s="142" t="s">
        <v>1753</v>
      </c>
      <c r="J53" s="142" t="s">
        <v>1754</v>
      </c>
      <c r="K53" s="142" t="s">
        <v>1755</v>
      </c>
      <c r="L53" s="142" t="s">
        <v>1756</v>
      </c>
      <c r="M53" s="142" t="s">
        <v>1757</v>
      </c>
      <c r="N53" s="142" t="s">
        <v>1758</v>
      </c>
      <c r="O53" s="142" t="s">
        <v>1759</v>
      </c>
      <c r="P53" s="142"/>
      <c r="Q53" s="142"/>
      <c r="R53" s="142" t="s">
        <v>1760</v>
      </c>
      <c r="S53" s="142" t="s">
        <v>1761</v>
      </c>
      <c r="T53" s="142" t="s">
        <v>1760</v>
      </c>
      <c r="U53" s="142" t="s">
        <v>1761</v>
      </c>
      <c r="V53" s="142"/>
      <c r="W53" s="142"/>
      <c r="X53" s="142"/>
      <c r="Y53" s="142"/>
      <c r="Z53" s="143" t="s">
        <v>1762</v>
      </c>
      <c r="AA53" s="142" t="s">
        <v>1763</v>
      </c>
      <c r="AB53" s="143"/>
      <c r="AC53" s="142"/>
      <c r="AD53" s="143"/>
      <c r="AE53" s="142"/>
      <c r="AF53" s="143"/>
      <c r="AG53" s="142"/>
      <c r="AH53" s="143" t="s">
        <v>1764</v>
      </c>
      <c r="AI53" s="142" t="s">
        <v>1765</v>
      </c>
      <c r="AJ53" s="143" t="s">
        <v>1766</v>
      </c>
      <c r="AK53" s="142" t="s">
        <v>1767</v>
      </c>
      <c r="AL53" s="143"/>
      <c r="AM53" s="142"/>
    </row>
    <row r="54" s="71" customFormat="1" spans="1:39">
      <c r="A54" s="144" t="s">
        <v>1819</v>
      </c>
      <c r="B54" s="145" t="s">
        <v>132</v>
      </c>
      <c r="C54" s="141" t="s">
        <v>1855</v>
      </c>
      <c r="D54" s="141" t="s">
        <v>1750</v>
      </c>
      <c r="E54" s="141" t="s">
        <v>1750</v>
      </c>
      <c r="F54" s="142" t="s">
        <v>1856</v>
      </c>
      <c r="G54" s="146">
        <v>521.58</v>
      </c>
      <c r="H54" s="142" t="s">
        <v>1857</v>
      </c>
      <c r="I54" s="142" t="s">
        <v>1753</v>
      </c>
      <c r="J54" s="142" t="s">
        <v>1754</v>
      </c>
      <c r="K54" s="142" t="s">
        <v>1755</v>
      </c>
      <c r="L54" s="142" t="s">
        <v>1756</v>
      </c>
      <c r="M54" s="142" t="s">
        <v>1757</v>
      </c>
      <c r="N54" s="142" t="s">
        <v>1775</v>
      </c>
      <c r="O54" s="142" t="s">
        <v>1776</v>
      </c>
      <c r="P54" s="142"/>
      <c r="Q54" s="142"/>
      <c r="R54" s="142" t="s">
        <v>1777</v>
      </c>
      <c r="S54" s="142" t="s">
        <v>1778</v>
      </c>
      <c r="T54" s="142" t="s">
        <v>1760</v>
      </c>
      <c r="U54" s="142" t="s">
        <v>1761</v>
      </c>
      <c r="V54" s="142"/>
      <c r="W54" s="142"/>
      <c r="X54" s="142"/>
      <c r="Y54" s="142"/>
      <c r="Z54" s="143" t="s">
        <v>1762</v>
      </c>
      <c r="AA54" s="142" t="s">
        <v>1763</v>
      </c>
      <c r="AB54" s="143"/>
      <c r="AC54" s="142"/>
      <c r="AD54" s="143"/>
      <c r="AE54" s="142"/>
      <c r="AF54" s="143"/>
      <c r="AG54" s="142"/>
      <c r="AH54" s="143" t="s">
        <v>1764</v>
      </c>
      <c r="AI54" s="142" t="s">
        <v>1765</v>
      </c>
      <c r="AJ54" s="143" t="s">
        <v>1766</v>
      </c>
      <c r="AK54" s="142" t="s">
        <v>1767</v>
      </c>
      <c r="AL54" s="143" t="s">
        <v>1782</v>
      </c>
      <c r="AM54" s="142" t="s">
        <v>1808</v>
      </c>
    </row>
    <row r="55" s="71" customFormat="1" spans="1:39">
      <c r="A55" s="144" t="s">
        <v>1822</v>
      </c>
      <c r="B55" s="145" t="s">
        <v>41</v>
      </c>
      <c r="C55" s="141" t="s">
        <v>1858</v>
      </c>
      <c r="D55" s="141" t="s">
        <v>1750</v>
      </c>
      <c r="E55" s="141" t="s">
        <v>1750</v>
      </c>
      <c r="F55" s="142" t="s">
        <v>1751</v>
      </c>
      <c r="G55" s="146">
        <v>420.68</v>
      </c>
      <c r="H55" s="142" t="s">
        <v>1752</v>
      </c>
      <c r="I55" s="142" t="s">
        <v>1753</v>
      </c>
      <c r="J55" s="142" t="s">
        <v>1754</v>
      </c>
      <c r="K55" s="142" t="s">
        <v>1755</v>
      </c>
      <c r="L55" s="142" t="s">
        <v>1756</v>
      </c>
      <c r="M55" s="142" t="s">
        <v>1757</v>
      </c>
      <c r="N55" s="142" t="s">
        <v>1758</v>
      </c>
      <c r="O55" s="142" t="s">
        <v>1759</v>
      </c>
      <c r="P55" s="142"/>
      <c r="Q55" s="142"/>
      <c r="R55" s="142" t="s">
        <v>1760</v>
      </c>
      <c r="S55" s="142" t="s">
        <v>1761</v>
      </c>
      <c r="T55" s="142" t="s">
        <v>1760</v>
      </c>
      <c r="U55" s="142" t="s">
        <v>1761</v>
      </c>
      <c r="V55" s="142"/>
      <c r="W55" s="142"/>
      <c r="X55" s="142"/>
      <c r="Y55" s="142"/>
      <c r="Z55" s="143" t="s">
        <v>1762</v>
      </c>
      <c r="AA55" s="142" t="s">
        <v>1763</v>
      </c>
      <c r="AB55" s="143"/>
      <c r="AC55" s="142"/>
      <c r="AD55" s="143"/>
      <c r="AE55" s="142"/>
      <c r="AF55" s="143"/>
      <c r="AG55" s="142"/>
      <c r="AH55" s="143" t="s">
        <v>1764</v>
      </c>
      <c r="AI55" s="142" t="s">
        <v>1765</v>
      </c>
      <c r="AJ55" s="143" t="s">
        <v>1766</v>
      </c>
      <c r="AK55" s="142" t="s">
        <v>1767</v>
      </c>
      <c r="AL55" s="143"/>
      <c r="AM55" s="142"/>
    </row>
    <row r="56" s="71" customFormat="1" spans="1:39">
      <c r="A56" s="144" t="s">
        <v>1824</v>
      </c>
      <c r="B56" s="145" t="s">
        <v>52</v>
      </c>
      <c r="C56" s="141" t="s">
        <v>1859</v>
      </c>
      <c r="D56" s="141" t="s">
        <v>1750</v>
      </c>
      <c r="E56" s="141" t="s">
        <v>1750</v>
      </c>
      <c r="F56" s="142" t="s">
        <v>1751</v>
      </c>
      <c r="G56" s="146">
        <v>420.68</v>
      </c>
      <c r="H56" s="142" t="s">
        <v>1752</v>
      </c>
      <c r="I56" s="142" t="s">
        <v>1821</v>
      </c>
      <c r="J56" s="142" t="s">
        <v>1754</v>
      </c>
      <c r="K56" s="142" t="s">
        <v>1755</v>
      </c>
      <c r="L56" s="142" t="s">
        <v>1756</v>
      </c>
      <c r="M56" s="142" t="s">
        <v>1757</v>
      </c>
      <c r="N56" s="142" t="s">
        <v>1758</v>
      </c>
      <c r="O56" s="142" t="s">
        <v>1759</v>
      </c>
      <c r="P56" s="142"/>
      <c r="Q56" s="142"/>
      <c r="R56" s="142" t="s">
        <v>1760</v>
      </c>
      <c r="S56" s="142" t="s">
        <v>1761</v>
      </c>
      <c r="T56" s="142" t="s">
        <v>1760</v>
      </c>
      <c r="U56" s="142" t="s">
        <v>1761</v>
      </c>
      <c r="V56" s="142"/>
      <c r="W56" s="142"/>
      <c r="X56" s="142"/>
      <c r="Y56" s="142"/>
      <c r="Z56" s="143" t="s">
        <v>1762</v>
      </c>
      <c r="AA56" s="142" t="s">
        <v>1763</v>
      </c>
      <c r="AB56" s="143"/>
      <c r="AC56" s="142"/>
      <c r="AD56" s="143"/>
      <c r="AE56" s="142"/>
      <c r="AF56" s="143"/>
      <c r="AG56" s="142"/>
      <c r="AH56" s="143" t="s">
        <v>1764</v>
      </c>
      <c r="AI56" s="142" t="s">
        <v>1765</v>
      </c>
      <c r="AJ56" s="143" t="s">
        <v>1766</v>
      </c>
      <c r="AK56" s="142" t="s">
        <v>1767</v>
      </c>
      <c r="AL56" s="143"/>
      <c r="AM56" s="142"/>
    </row>
    <row r="57" s="71" customFormat="1" spans="1:39">
      <c r="A57" s="144" t="s">
        <v>1826</v>
      </c>
      <c r="B57" s="145" t="s">
        <v>85</v>
      </c>
      <c r="C57" s="141" t="s">
        <v>1860</v>
      </c>
      <c r="D57" s="141" t="s">
        <v>1750</v>
      </c>
      <c r="E57" s="141" t="s">
        <v>1750</v>
      </c>
      <c r="F57" s="142" t="s">
        <v>1751</v>
      </c>
      <c r="G57" s="146">
        <v>420.68</v>
      </c>
      <c r="H57" s="142" t="s">
        <v>1752</v>
      </c>
      <c r="I57" s="142" t="s">
        <v>1821</v>
      </c>
      <c r="J57" s="142" t="s">
        <v>1754</v>
      </c>
      <c r="K57" s="142" t="s">
        <v>1755</v>
      </c>
      <c r="L57" s="142" t="s">
        <v>1756</v>
      </c>
      <c r="M57" s="142" t="s">
        <v>1757</v>
      </c>
      <c r="N57" s="142" t="s">
        <v>1758</v>
      </c>
      <c r="O57" s="142" t="s">
        <v>1759</v>
      </c>
      <c r="P57" s="142"/>
      <c r="Q57" s="142"/>
      <c r="R57" s="142" t="s">
        <v>1760</v>
      </c>
      <c r="S57" s="142" t="s">
        <v>1761</v>
      </c>
      <c r="T57" s="142" t="s">
        <v>1760</v>
      </c>
      <c r="U57" s="142" t="s">
        <v>1761</v>
      </c>
      <c r="V57" s="142"/>
      <c r="W57" s="142"/>
      <c r="X57" s="142"/>
      <c r="Y57" s="142"/>
      <c r="Z57" s="143" t="s">
        <v>1762</v>
      </c>
      <c r="AA57" s="142" t="s">
        <v>1763</v>
      </c>
      <c r="AB57" s="143"/>
      <c r="AC57" s="142"/>
      <c r="AD57" s="143"/>
      <c r="AE57" s="142"/>
      <c r="AF57" s="143"/>
      <c r="AG57" s="142"/>
      <c r="AH57" s="143" t="s">
        <v>1764</v>
      </c>
      <c r="AI57" s="142" t="s">
        <v>1765</v>
      </c>
      <c r="AJ57" s="143" t="s">
        <v>1766</v>
      </c>
      <c r="AK57" s="142" t="s">
        <v>1767</v>
      </c>
      <c r="AL57" s="143"/>
      <c r="AM57" s="142"/>
    </row>
    <row r="58" s="71" customFormat="1" spans="1:39">
      <c r="A58" s="144" t="s">
        <v>1828</v>
      </c>
      <c r="B58" s="145" t="s">
        <v>45</v>
      </c>
      <c r="C58" s="141" t="s">
        <v>1861</v>
      </c>
      <c r="D58" s="141" t="s">
        <v>1750</v>
      </c>
      <c r="E58" s="141" t="s">
        <v>1750</v>
      </c>
      <c r="F58" s="142" t="s">
        <v>1856</v>
      </c>
      <c r="G58" s="146">
        <v>521.58</v>
      </c>
      <c r="H58" s="142" t="s">
        <v>1857</v>
      </c>
      <c r="I58" s="142" t="s">
        <v>1753</v>
      </c>
      <c r="J58" s="142" t="s">
        <v>1754</v>
      </c>
      <c r="K58" s="142" t="s">
        <v>1755</v>
      </c>
      <c r="L58" s="142" t="s">
        <v>1756</v>
      </c>
      <c r="M58" s="142" t="s">
        <v>1757</v>
      </c>
      <c r="N58" s="142" t="s">
        <v>1775</v>
      </c>
      <c r="O58" s="142" t="s">
        <v>1776</v>
      </c>
      <c r="P58" s="142"/>
      <c r="Q58" s="142"/>
      <c r="R58" s="142" t="s">
        <v>1777</v>
      </c>
      <c r="S58" s="142" t="s">
        <v>1778</v>
      </c>
      <c r="T58" s="142" t="s">
        <v>1760</v>
      </c>
      <c r="U58" s="142" t="s">
        <v>1761</v>
      </c>
      <c r="V58" s="142"/>
      <c r="W58" s="142"/>
      <c r="X58" s="142"/>
      <c r="Y58" s="142"/>
      <c r="Z58" s="143" t="s">
        <v>1762</v>
      </c>
      <c r="AA58" s="142" t="s">
        <v>1763</v>
      </c>
      <c r="AB58" s="143"/>
      <c r="AC58" s="142"/>
      <c r="AD58" s="143"/>
      <c r="AE58" s="142"/>
      <c r="AF58" s="143"/>
      <c r="AG58" s="142"/>
      <c r="AH58" s="143" t="s">
        <v>1764</v>
      </c>
      <c r="AI58" s="142" t="s">
        <v>1765</v>
      </c>
      <c r="AJ58" s="143" t="s">
        <v>1766</v>
      </c>
      <c r="AK58" s="142" t="s">
        <v>1767</v>
      </c>
      <c r="AL58" s="143" t="s">
        <v>1782</v>
      </c>
      <c r="AM58" s="142" t="s">
        <v>1808</v>
      </c>
    </row>
    <row r="59" s="71" customFormat="1" spans="1:39">
      <c r="A59" s="144" t="s">
        <v>1830</v>
      </c>
      <c r="B59" s="145" t="s">
        <v>90</v>
      </c>
      <c r="C59" s="141" t="s">
        <v>1862</v>
      </c>
      <c r="D59" s="141" t="s">
        <v>1750</v>
      </c>
      <c r="E59" s="141" t="s">
        <v>1750</v>
      </c>
      <c r="F59" s="142" t="s">
        <v>1751</v>
      </c>
      <c r="G59" s="146">
        <v>420.68</v>
      </c>
      <c r="H59" s="142" t="s">
        <v>1752</v>
      </c>
      <c r="I59" s="142" t="s">
        <v>1753</v>
      </c>
      <c r="J59" s="142" t="s">
        <v>1754</v>
      </c>
      <c r="K59" s="142" t="s">
        <v>1755</v>
      </c>
      <c r="L59" s="142" t="s">
        <v>1756</v>
      </c>
      <c r="M59" s="142" t="s">
        <v>1757</v>
      </c>
      <c r="N59" s="142" t="s">
        <v>1758</v>
      </c>
      <c r="O59" s="142" t="s">
        <v>1759</v>
      </c>
      <c r="P59" s="142"/>
      <c r="Q59" s="142"/>
      <c r="R59" s="142" t="s">
        <v>1760</v>
      </c>
      <c r="S59" s="142" t="s">
        <v>1761</v>
      </c>
      <c r="T59" s="142" t="s">
        <v>1760</v>
      </c>
      <c r="U59" s="142" t="s">
        <v>1761</v>
      </c>
      <c r="V59" s="142"/>
      <c r="W59" s="142"/>
      <c r="X59" s="142"/>
      <c r="Y59" s="142"/>
      <c r="Z59" s="143" t="s">
        <v>1762</v>
      </c>
      <c r="AA59" s="142" t="s">
        <v>1763</v>
      </c>
      <c r="AB59" s="143"/>
      <c r="AC59" s="142"/>
      <c r="AD59" s="143"/>
      <c r="AE59" s="142"/>
      <c r="AF59" s="143"/>
      <c r="AG59" s="142"/>
      <c r="AH59" s="143" t="s">
        <v>1764</v>
      </c>
      <c r="AI59" s="142" t="s">
        <v>1765</v>
      </c>
      <c r="AJ59" s="143" t="s">
        <v>1766</v>
      </c>
      <c r="AK59" s="142" t="s">
        <v>1767</v>
      </c>
      <c r="AL59" s="143"/>
      <c r="AM59" s="142"/>
    </row>
    <row r="60" s="71" customFormat="1" spans="1:39">
      <c r="A60" s="144" t="s">
        <v>1832</v>
      </c>
      <c r="B60" s="145" t="s">
        <v>38</v>
      </c>
      <c r="C60" s="141" t="s">
        <v>1863</v>
      </c>
      <c r="D60" s="141" t="s">
        <v>1750</v>
      </c>
      <c r="E60" s="141" t="s">
        <v>1750</v>
      </c>
      <c r="F60" s="142" t="s">
        <v>1751</v>
      </c>
      <c r="G60" s="146">
        <v>420.68</v>
      </c>
      <c r="H60" s="142" t="s">
        <v>1752</v>
      </c>
      <c r="I60" s="142" t="s">
        <v>1753</v>
      </c>
      <c r="J60" s="142" t="s">
        <v>1754</v>
      </c>
      <c r="K60" s="142" t="s">
        <v>1755</v>
      </c>
      <c r="L60" s="142" t="s">
        <v>1756</v>
      </c>
      <c r="M60" s="142" t="s">
        <v>1757</v>
      </c>
      <c r="N60" s="142" t="s">
        <v>1758</v>
      </c>
      <c r="O60" s="142" t="s">
        <v>1759</v>
      </c>
      <c r="P60" s="142"/>
      <c r="Q60" s="142"/>
      <c r="R60" s="142" t="s">
        <v>1760</v>
      </c>
      <c r="S60" s="142" t="s">
        <v>1761</v>
      </c>
      <c r="T60" s="142" t="s">
        <v>1760</v>
      </c>
      <c r="U60" s="142" t="s">
        <v>1761</v>
      </c>
      <c r="V60" s="142"/>
      <c r="W60" s="142"/>
      <c r="X60" s="142"/>
      <c r="Y60" s="142"/>
      <c r="Z60" s="143" t="s">
        <v>1762</v>
      </c>
      <c r="AA60" s="142" t="s">
        <v>1763</v>
      </c>
      <c r="AB60" s="143"/>
      <c r="AC60" s="142"/>
      <c r="AD60" s="143"/>
      <c r="AE60" s="142"/>
      <c r="AF60" s="143"/>
      <c r="AG60" s="142"/>
      <c r="AH60" s="143" t="s">
        <v>1764</v>
      </c>
      <c r="AI60" s="142" t="s">
        <v>1765</v>
      </c>
      <c r="AJ60" s="143" t="s">
        <v>1766</v>
      </c>
      <c r="AK60" s="142" t="s">
        <v>1767</v>
      </c>
      <c r="AL60" s="143"/>
      <c r="AM60" s="142"/>
    </row>
    <row r="61" s="71" customFormat="1" spans="1:39">
      <c r="A61" s="144" t="s">
        <v>1836</v>
      </c>
      <c r="B61" s="145" t="s">
        <v>129</v>
      </c>
      <c r="C61" s="141" t="s">
        <v>1864</v>
      </c>
      <c r="D61" s="141" t="s">
        <v>1750</v>
      </c>
      <c r="E61" s="141" t="s">
        <v>1750</v>
      </c>
      <c r="F61" s="142" t="s">
        <v>1751</v>
      </c>
      <c r="G61" s="146">
        <v>420.68</v>
      </c>
      <c r="H61" s="142" t="s">
        <v>1752</v>
      </c>
      <c r="I61" s="142" t="s">
        <v>1753</v>
      </c>
      <c r="J61" s="142" t="s">
        <v>1754</v>
      </c>
      <c r="K61" s="142" t="s">
        <v>1755</v>
      </c>
      <c r="L61" s="142" t="s">
        <v>1756</v>
      </c>
      <c r="M61" s="142" t="s">
        <v>1757</v>
      </c>
      <c r="N61" s="142" t="s">
        <v>1758</v>
      </c>
      <c r="O61" s="142" t="s">
        <v>1759</v>
      </c>
      <c r="P61" s="142"/>
      <c r="Q61" s="142"/>
      <c r="R61" s="142" t="s">
        <v>1760</v>
      </c>
      <c r="S61" s="142" t="s">
        <v>1761</v>
      </c>
      <c r="T61" s="142" t="s">
        <v>1760</v>
      </c>
      <c r="U61" s="142" t="s">
        <v>1761</v>
      </c>
      <c r="V61" s="142"/>
      <c r="W61" s="142"/>
      <c r="X61" s="142"/>
      <c r="Y61" s="142"/>
      <c r="Z61" s="143" t="s">
        <v>1762</v>
      </c>
      <c r="AA61" s="142" t="s">
        <v>1763</v>
      </c>
      <c r="AB61" s="143"/>
      <c r="AC61" s="142"/>
      <c r="AD61" s="143"/>
      <c r="AE61" s="142"/>
      <c r="AF61" s="143"/>
      <c r="AG61" s="142"/>
      <c r="AH61" s="143" t="s">
        <v>1764</v>
      </c>
      <c r="AI61" s="142" t="s">
        <v>1765</v>
      </c>
      <c r="AJ61" s="143" t="s">
        <v>1766</v>
      </c>
      <c r="AK61" s="142" t="s">
        <v>1767</v>
      </c>
      <c r="AL61" s="143"/>
      <c r="AM61" s="142"/>
    </row>
    <row r="62" s="72" customFormat="1" spans="1:39">
      <c r="A62" s="147"/>
      <c r="B62" s="140" t="s">
        <v>1784</v>
      </c>
      <c r="C62" s="148"/>
      <c r="D62" s="148"/>
      <c r="E62" s="148"/>
      <c r="F62" s="149" t="s">
        <v>1865</v>
      </c>
      <c r="G62" s="149" t="s">
        <v>1866</v>
      </c>
      <c r="H62" s="149" t="s">
        <v>1867</v>
      </c>
      <c r="I62" s="150"/>
      <c r="J62" s="150"/>
      <c r="K62" s="150" t="s">
        <v>1868</v>
      </c>
      <c r="L62" s="150"/>
      <c r="M62" s="150" t="s">
        <v>1869</v>
      </c>
      <c r="N62" s="150"/>
      <c r="O62" s="150" t="s">
        <v>1870</v>
      </c>
      <c r="P62" s="150"/>
      <c r="Q62" s="150" t="s">
        <v>1791</v>
      </c>
      <c r="R62" s="150"/>
      <c r="S62" s="150" t="s">
        <v>1871</v>
      </c>
      <c r="T62" s="150"/>
      <c r="U62" s="150" t="s">
        <v>1872</v>
      </c>
      <c r="V62" s="150"/>
      <c r="W62" s="150" t="s">
        <v>1791</v>
      </c>
      <c r="X62" s="150"/>
      <c r="Y62" s="150" t="s">
        <v>1791</v>
      </c>
      <c r="Z62" s="151"/>
      <c r="AA62" s="150" t="s">
        <v>1873</v>
      </c>
      <c r="AB62" s="151"/>
      <c r="AC62" s="150" t="s">
        <v>1791</v>
      </c>
      <c r="AD62" s="151"/>
      <c r="AE62" s="150" t="s">
        <v>1791</v>
      </c>
      <c r="AF62" s="151"/>
      <c r="AG62" s="150" t="s">
        <v>1791</v>
      </c>
      <c r="AH62" s="151"/>
      <c r="AI62" s="150" t="s">
        <v>1874</v>
      </c>
      <c r="AJ62" s="151"/>
      <c r="AK62" s="150" t="s">
        <v>1875</v>
      </c>
      <c r="AL62" s="151"/>
      <c r="AM62" s="150" t="s">
        <v>1876</v>
      </c>
    </row>
    <row r="63" s="72" customFormat="1" spans="1:39">
      <c r="A63" s="148" t="s">
        <v>1797</v>
      </c>
      <c r="B63" s="148"/>
      <c r="C63" s="148"/>
      <c r="D63" s="148"/>
      <c r="E63" s="148"/>
      <c r="F63" s="150"/>
      <c r="G63" s="152"/>
      <c r="H63" s="152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</row>
    <row r="64" s="73" customFormat="1" spans="1:39">
      <c r="A64" s="148"/>
      <c r="B64" s="148" t="s">
        <v>1784</v>
      </c>
      <c r="C64" s="148"/>
      <c r="D64" s="148"/>
      <c r="E64" s="148"/>
      <c r="F64" s="149" t="s">
        <v>1791</v>
      </c>
      <c r="G64" s="149" t="s">
        <v>1791</v>
      </c>
      <c r="H64" s="149" t="s">
        <v>1791</v>
      </c>
      <c r="I64" s="150"/>
      <c r="J64" s="150"/>
      <c r="K64" s="150" t="s">
        <v>1791</v>
      </c>
      <c r="L64" s="150"/>
      <c r="M64" s="150" t="s">
        <v>1791</v>
      </c>
      <c r="N64" s="150"/>
      <c r="O64" s="150" t="s">
        <v>1791</v>
      </c>
      <c r="P64" s="150"/>
      <c r="Q64" s="150" t="s">
        <v>1791</v>
      </c>
      <c r="R64" s="150"/>
      <c r="S64" s="150" t="s">
        <v>1791</v>
      </c>
      <c r="T64" s="150"/>
      <c r="U64" s="150" t="s">
        <v>1791</v>
      </c>
      <c r="V64" s="150"/>
      <c r="W64" s="150" t="s">
        <v>1791</v>
      </c>
      <c r="X64" s="150"/>
      <c r="Y64" s="150" t="s">
        <v>1791</v>
      </c>
      <c r="Z64" s="150"/>
      <c r="AA64" s="150" t="s">
        <v>1791</v>
      </c>
      <c r="AB64" s="150"/>
      <c r="AC64" s="150" t="s">
        <v>1791</v>
      </c>
      <c r="AD64" s="150"/>
      <c r="AE64" s="150" t="s">
        <v>1791</v>
      </c>
      <c r="AF64" s="150"/>
      <c r="AG64" s="150" t="s">
        <v>1791</v>
      </c>
      <c r="AH64" s="150"/>
      <c r="AI64" s="150" t="s">
        <v>1791</v>
      </c>
      <c r="AJ64" s="150"/>
      <c r="AK64" s="150" t="s">
        <v>1791</v>
      </c>
      <c r="AL64" s="150"/>
      <c r="AM64" s="150" t="s">
        <v>1791</v>
      </c>
    </row>
    <row r="65" s="72" customFormat="1" spans="1:39">
      <c r="A65" s="148" t="s">
        <v>1798</v>
      </c>
      <c r="B65" s="148"/>
      <c r="C65" s="148"/>
      <c r="D65" s="148"/>
      <c r="E65" s="148"/>
      <c r="F65" s="150"/>
      <c r="G65" s="152"/>
      <c r="H65" s="152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</row>
    <row r="66" s="73" customFormat="1" spans="1:39">
      <c r="A66" s="148"/>
      <c r="B66" s="148" t="s">
        <v>1784</v>
      </c>
      <c r="C66" s="148"/>
      <c r="D66" s="148"/>
      <c r="E66" s="148"/>
      <c r="F66" s="149" t="s">
        <v>1791</v>
      </c>
      <c r="G66" s="149" t="s">
        <v>1791</v>
      </c>
      <c r="H66" s="149" t="s">
        <v>1791</v>
      </c>
      <c r="I66" s="150"/>
      <c r="J66" s="150"/>
      <c r="K66" s="150" t="s">
        <v>1791</v>
      </c>
      <c r="L66" s="150"/>
      <c r="M66" s="150" t="s">
        <v>1791</v>
      </c>
      <c r="N66" s="150"/>
      <c r="O66" s="150" t="s">
        <v>1791</v>
      </c>
      <c r="P66" s="150"/>
      <c r="Q66" s="150" t="s">
        <v>1791</v>
      </c>
      <c r="R66" s="150"/>
      <c r="S66" s="150" t="s">
        <v>1791</v>
      </c>
      <c r="T66" s="150"/>
      <c r="U66" s="150" t="s">
        <v>1791</v>
      </c>
      <c r="V66" s="150"/>
      <c r="W66" s="150" t="s">
        <v>1791</v>
      </c>
      <c r="X66" s="150"/>
      <c r="Y66" s="150" t="s">
        <v>1791</v>
      </c>
      <c r="Z66" s="150"/>
      <c r="AA66" s="150" t="s">
        <v>1791</v>
      </c>
      <c r="AB66" s="150"/>
      <c r="AC66" s="150" t="s">
        <v>1791</v>
      </c>
      <c r="AD66" s="150"/>
      <c r="AE66" s="150" t="s">
        <v>1791</v>
      </c>
      <c r="AF66" s="150"/>
      <c r="AG66" s="150" t="s">
        <v>1791</v>
      </c>
      <c r="AH66" s="150"/>
      <c r="AI66" s="150" t="s">
        <v>1791</v>
      </c>
      <c r="AJ66" s="150"/>
      <c r="AK66" s="150" t="s">
        <v>1791</v>
      </c>
      <c r="AL66" s="150"/>
      <c r="AM66" s="150" t="s">
        <v>1791</v>
      </c>
    </row>
    <row r="67" s="13" customFormat="1" spans="1:39">
      <c r="B67" s="13" t="s">
        <v>1877</v>
      </c>
    </row>
    <row r="70" s="70" customFormat="1" ht="28.5" spans="1:39">
      <c r="A70" s="130"/>
      <c r="B70" s="86" t="s">
        <v>1878</v>
      </c>
      <c r="C70" s="131"/>
      <c r="D70" s="130"/>
      <c r="E70" s="130"/>
      <c r="F70" s="132" t="s">
        <v>1723</v>
      </c>
      <c r="G70" s="153" t="s">
        <v>1724</v>
      </c>
      <c r="H70" s="153" t="s">
        <v>1725</v>
      </c>
      <c r="I70" s="132"/>
      <c r="J70" s="134" t="s">
        <v>1726</v>
      </c>
      <c r="K70" s="135"/>
      <c r="L70" s="134" t="s">
        <v>1727</v>
      </c>
      <c r="M70" s="135"/>
      <c r="N70" s="134" t="s">
        <v>1728</v>
      </c>
      <c r="O70" s="135"/>
      <c r="P70" s="134" t="s">
        <v>1729</v>
      </c>
      <c r="Q70" s="135"/>
      <c r="R70" s="134" t="s">
        <v>1730</v>
      </c>
      <c r="S70" s="135"/>
      <c r="T70" s="136" t="s">
        <v>1731</v>
      </c>
      <c r="U70" s="137"/>
      <c r="V70" s="136" t="s">
        <v>1732</v>
      </c>
      <c r="W70" s="137"/>
      <c r="X70" s="136" t="s">
        <v>1733</v>
      </c>
      <c r="Y70" s="137"/>
      <c r="Z70" s="136" t="s">
        <v>1734</v>
      </c>
      <c r="AA70" s="137"/>
      <c r="AB70" s="136" t="s">
        <v>1735</v>
      </c>
      <c r="AC70" s="137"/>
      <c r="AD70" s="134" t="s">
        <v>1736</v>
      </c>
      <c r="AE70" s="135"/>
      <c r="AF70" s="134" t="s">
        <v>1737</v>
      </c>
      <c r="AG70" s="135"/>
      <c r="AH70" s="134" t="s">
        <v>1738</v>
      </c>
      <c r="AI70" s="135"/>
      <c r="AJ70" s="134" t="s">
        <v>1739</v>
      </c>
      <c r="AK70" s="135"/>
      <c r="AL70" s="134" t="s">
        <v>1740</v>
      </c>
      <c r="AM70" s="135"/>
    </row>
    <row r="71" s="70" customFormat="1" spans="1:39">
      <c r="A71" s="138" t="s">
        <v>277</v>
      </c>
      <c r="B71" s="138" t="s">
        <v>1</v>
      </c>
      <c r="C71" s="23" t="s">
        <v>1741</v>
      </c>
      <c r="D71" s="138" t="s">
        <v>1742</v>
      </c>
      <c r="E71" s="138" t="s">
        <v>1743</v>
      </c>
      <c r="F71" s="132"/>
      <c r="G71" s="132"/>
      <c r="H71" s="132"/>
      <c r="I71" s="132" t="s">
        <v>1744</v>
      </c>
      <c r="J71" s="132" t="s">
        <v>1745</v>
      </c>
      <c r="K71" s="132" t="s">
        <v>1746</v>
      </c>
      <c r="L71" s="132" t="s">
        <v>1745</v>
      </c>
      <c r="M71" s="132" t="s">
        <v>1746</v>
      </c>
      <c r="N71" s="132" t="s">
        <v>1745</v>
      </c>
      <c r="O71" s="132" t="s">
        <v>1746</v>
      </c>
      <c r="P71" s="132" t="s">
        <v>1745</v>
      </c>
      <c r="Q71" s="132" t="s">
        <v>1746</v>
      </c>
      <c r="R71" s="132" t="s">
        <v>1745</v>
      </c>
      <c r="S71" s="132" t="s">
        <v>1746</v>
      </c>
      <c r="T71" s="132" t="s">
        <v>1745</v>
      </c>
      <c r="U71" s="132" t="s">
        <v>1746</v>
      </c>
      <c r="V71" s="132" t="s">
        <v>1745</v>
      </c>
      <c r="W71" s="132" t="s">
        <v>1746</v>
      </c>
      <c r="X71" s="132" t="s">
        <v>1745</v>
      </c>
      <c r="Y71" s="132" t="s">
        <v>1746</v>
      </c>
      <c r="Z71" s="136" t="s">
        <v>1745</v>
      </c>
      <c r="AA71" s="132" t="s">
        <v>1746</v>
      </c>
      <c r="AB71" s="136" t="s">
        <v>1745</v>
      </c>
      <c r="AC71" s="132" t="s">
        <v>1746</v>
      </c>
      <c r="AD71" s="136" t="s">
        <v>1745</v>
      </c>
      <c r="AE71" s="132" t="s">
        <v>1746</v>
      </c>
      <c r="AF71" s="136" t="s">
        <v>1745</v>
      </c>
      <c r="AG71" s="132" t="s">
        <v>1746</v>
      </c>
      <c r="AH71" s="136" t="s">
        <v>1745</v>
      </c>
      <c r="AI71" s="132" t="s">
        <v>1746</v>
      </c>
      <c r="AJ71" s="136" t="s">
        <v>1745</v>
      </c>
      <c r="AK71" s="132" t="s">
        <v>1746</v>
      </c>
      <c r="AL71" s="136" t="s">
        <v>1745</v>
      </c>
      <c r="AM71" s="132" t="s">
        <v>1746</v>
      </c>
    </row>
    <row r="72" s="71" customFormat="1" spans="1:39">
      <c r="A72" s="154" t="s">
        <v>1747</v>
      </c>
      <c r="B72" s="155"/>
      <c r="C72" s="141"/>
      <c r="D72" s="141"/>
      <c r="E72" s="141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3"/>
      <c r="AA72" s="142"/>
      <c r="AB72" s="143"/>
      <c r="AC72" s="142"/>
      <c r="AD72" s="143"/>
      <c r="AE72" s="142"/>
      <c r="AF72" s="143"/>
      <c r="AG72" s="142"/>
      <c r="AH72" s="143"/>
      <c r="AI72" s="142"/>
      <c r="AJ72" s="143"/>
      <c r="AK72" s="142"/>
      <c r="AL72" s="143"/>
      <c r="AM72" s="142"/>
    </row>
    <row r="73" s="71" customFormat="1" spans="1:39">
      <c r="A73" s="156" t="s">
        <v>1748</v>
      </c>
      <c r="B73" s="157" t="s">
        <v>181</v>
      </c>
      <c r="C73" s="141" t="s">
        <v>1879</v>
      </c>
      <c r="D73" s="141" t="s">
        <v>1750</v>
      </c>
      <c r="E73" s="141" t="s">
        <v>1750</v>
      </c>
      <c r="F73" s="142" t="s">
        <v>1751</v>
      </c>
      <c r="G73" s="146">
        <v>420.68</v>
      </c>
      <c r="H73" s="142" t="s">
        <v>1752</v>
      </c>
      <c r="I73" s="142" t="s">
        <v>1821</v>
      </c>
      <c r="J73" s="142" t="s">
        <v>1754</v>
      </c>
      <c r="K73" s="142" t="s">
        <v>1755</v>
      </c>
      <c r="L73" s="142" t="s">
        <v>1756</v>
      </c>
      <c r="M73" s="142" t="s">
        <v>1757</v>
      </c>
      <c r="N73" s="142" t="s">
        <v>1758</v>
      </c>
      <c r="O73" s="142" t="s">
        <v>1759</v>
      </c>
      <c r="P73" s="142"/>
      <c r="Q73" s="142"/>
      <c r="R73" s="142" t="s">
        <v>1760</v>
      </c>
      <c r="S73" s="142" t="s">
        <v>1761</v>
      </c>
      <c r="T73" s="142" t="s">
        <v>1760</v>
      </c>
      <c r="U73" s="142" t="s">
        <v>1761</v>
      </c>
      <c r="V73" s="142"/>
      <c r="W73" s="142"/>
      <c r="X73" s="142"/>
      <c r="Y73" s="142"/>
      <c r="Z73" s="143" t="s">
        <v>1762</v>
      </c>
      <c r="AA73" s="142" t="s">
        <v>1763</v>
      </c>
      <c r="AB73" s="143"/>
      <c r="AC73" s="142"/>
      <c r="AD73" s="143"/>
      <c r="AE73" s="142"/>
      <c r="AF73" s="143"/>
      <c r="AG73" s="142"/>
      <c r="AH73" s="143" t="s">
        <v>1764</v>
      </c>
      <c r="AI73" s="142" t="s">
        <v>1765</v>
      </c>
      <c r="AJ73" s="143" t="s">
        <v>1766</v>
      </c>
      <c r="AK73" s="142" t="s">
        <v>1767</v>
      </c>
      <c r="AL73" s="143"/>
      <c r="AM73" s="142"/>
    </row>
    <row r="74" s="71" customFormat="1" spans="1:39">
      <c r="A74" s="156" t="s">
        <v>1768</v>
      </c>
      <c r="B74" s="157" t="s">
        <v>108</v>
      </c>
      <c r="C74" s="141" t="s">
        <v>1880</v>
      </c>
      <c r="D74" s="141" t="s">
        <v>1750</v>
      </c>
      <c r="E74" s="141" t="s">
        <v>1750</v>
      </c>
      <c r="F74" s="142" t="s">
        <v>1751</v>
      </c>
      <c r="G74" s="146">
        <v>420.68</v>
      </c>
      <c r="H74" s="142" t="s">
        <v>1752</v>
      </c>
      <c r="I74" s="142" t="s">
        <v>1821</v>
      </c>
      <c r="J74" s="142" t="s">
        <v>1754</v>
      </c>
      <c r="K74" s="142" t="s">
        <v>1755</v>
      </c>
      <c r="L74" s="142" t="s">
        <v>1756</v>
      </c>
      <c r="M74" s="142" t="s">
        <v>1757</v>
      </c>
      <c r="N74" s="142" t="s">
        <v>1758</v>
      </c>
      <c r="O74" s="142" t="s">
        <v>1759</v>
      </c>
      <c r="P74" s="142"/>
      <c r="Q74" s="142"/>
      <c r="R74" s="142" t="s">
        <v>1760</v>
      </c>
      <c r="S74" s="142" t="s">
        <v>1761</v>
      </c>
      <c r="T74" s="142" t="s">
        <v>1760</v>
      </c>
      <c r="U74" s="142" t="s">
        <v>1761</v>
      </c>
      <c r="V74" s="142"/>
      <c r="W74" s="142"/>
      <c r="X74" s="142"/>
      <c r="Y74" s="142"/>
      <c r="Z74" s="143" t="s">
        <v>1762</v>
      </c>
      <c r="AA74" s="142" t="s">
        <v>1763</v>
      </c>
      <c r="AB74" s="143"/>
      <c r="AC74" s="142"/>
      <c r="AD74" s="143"/>
      <c r="AE74" s="142"/>
      <c r="AF74" s="143"/>
      <c r="AG74" s="142"/>
      <c r="AH74" s="143" t="s">
        <v>1764</v>
      </c>
      <c r="AI74" s="142" t="s">
        <v>1765</v>
      </c>
      <c r="AJ74" s="143" t="s">
        <v>1766</v>
      </c>
      <c r="AK74" s="142" t="s">
        <v>1767</v>
      </c>
      <c r="AL74" s="143"/>
      <c r="AM74" s="142"/>
    </row>
    <row r="75" s="71" customFormat="1" spans="1:39">
      <c r="A75" s="156" t="s">
        <v>1819</v>
      </c>
      <c r="B75" s="157" t="s">
        <v>101</v>
      </c>
      <c r="C75" s="141" t="s">
        <v>1881</v>
      </c>
      <c r="D75" s="141" t="s">
        <v>1750</v>
      </c>
      <c r="E75" s="141" t="s">
        <v>1750</v>
      </c>
      <c r="F75" s="142" t="s">
        <v>1856</v>
      </c>
      <c r="G75" s="146">
        <v>521.58</v>
      </c>
      <c r="H75" s="142" t="s">
        <v>1857</v>
      </c>
      <c r="I75" s="142" t="s">
        <v>1821</v>
      </c>
      <c r="J75" s="142" t="s">
        <v>1754</v>
      </c>
      <c r="K75" s="142" t="s">
        <v>1755</v>
      </c>
      <c r="L75" s="142" t="s">
        <v>1756</v>
      </c>
      <c r="M75" s="142" t="s">
        <v>1757</v>
      </c>
      <c r="N75" s="142" t="s">
        <v>1775</v>
      </c>
      <c r="O75" s="142" t="s">
        <v>1776</v>
      </c>
      <c r="P75" s="142"/>
      <c r="Q75" s="142"/>
      <c r="R75" s="142" t="s">
        <v>1777</v>
      </c>
      <c r="S75" s="142" t="s">
        <v>1778</v>
      </c>
      <c r="T75" s="142" t="s">
        <v>1760</v>
      </c>
      <c r="U75" s="142" t="s">
        <v>1761</v>
      </c>
      <c r="V75" s="142"/>
      <c r="W75" s="142"/>
      <c r="X75" s="142"/>
      <c r="Y75" s="142"/>
      <c r="Z75" s="143" t="s">
        <v>1762</v>
      </c>
      <c r="AA75" s="142" t="s">
        <v>1763</v>
      </c>
      <c r="AB75" s="143"/>
      <c r="AC75" s="142"/>
      <c r="AD75" s="143"/>
      <c r="AE75" s="142"/>
      <c r="AF75" s="143"/>
      <c r="AG75" s="142"/>
      <c r="AH75" s="143" t="s">
        <v>1764</v>
      </c>
      <c r="AI75" s="142" t="s">
        <v>1765</v>
      </c>
      <c r="AJ75" s="143" t="s">
        <v>1766</v>
      </c>
      <c r="AK75" s="142" t="s">
        <v>1767</v>
      </c>
      <c r="AL75" s="143" t="s">
        <v>1782</v>
      </c>
      <c r="AM75" s="142" t="s">
        <v>1808</v>
      </c>
    </row>
    <row r="76" s="71" customFormat="1" spans="1:39">
      <c r="A76" s="156" t="s">
        <v>1822</v>
      </c>
      <c r="B76" s="157" t="s">
        <v>68</v>
      </c>
      <c r="C76" s="141" t="s">
        <v>1882</v>
      </c>
      <c r="D76" s="141" t="s">
        <v>1750</v>
      </c>
      <c r="E76" s="141" t="s">
        <v>1750</v>
      </c>
      <c r="F76" s="142" t="s">
        <v>1751</v>
      </c>
      <c r="G76" s="146">
        <v>420.68</v>
      </c>
      <c r="H76" s="142" t="s">
        <v>1752</v>
      </c>
      <c r="I76" s="142" t="s">
        <v>1821</v>
      </c>
      <c r="J76" s="142" t="s">
        <v>1754</v>
      </c>
      <c r="K76" s="142" t="s">
        <v>1755</v>
      </c>
      <c r="L76" s="142" t="s">
        <v>1756</v>
      </c>
      <c r="M76" s="142" t="s">
        <v>1757</v>
      </c>
      <c r="N76" s="142" t="s">
        <v>1758</v>
      </c>
      <c r="O76" s="142" t="s">
        <v>1759</v>
      </c>
      <c r="P76" s="142"/>
      <c r="Q76" s="142"/>
      <c r="R76" s="142" t="s">
        <v>1760</v>
      </c>
      <c r="S76" s="142" t="s">
        <v>1761</v>
      </c>
      <c r="T76" s="142" t="s">
        <v>1760</v>
      </c>
      <c r="U76" s="142" t="s">
        <v>1761</v>
      </c>
      <c r="V76" s="142"/>
      <c r="W76" s="142"/>
      <c r="X76" s="142"/>
      <c r="Y76" s="142"/>
      <c r="Z76" s="143" t="s">
        <v>1762</v>
      </c>
      <c r="AA76" s="142" t="s">
        <v>1763</v>
      </c>
      <c r="AB76" s="143"/>
      <c r="AC76" s="142"/>
      <c r="AD76" s="143"/>
      <c r="AE76" s="142"/>
      <c r="AF76" s="143"/>
      <c r="AG76" s="142"/>
      <c r="AH76" s="143" t="s">
        <v>1764</v>
      </c>
      <c r="AI76" s="142" t="s">
        <v>1765</v>
      </c>
      <c r="AJ76" s="143" t="s">
        <v>1766</v>
      </c>
      <c r="AK76" s="142" t="s">
        <v>1767</v>
      </c>
      <c r="AL76" s="143"/>
      <c r="AM76" s="142"/>
    </row>
    <row r="77" s="71" customFormat="1" spans="1:39">
      <c r="A77" s="156" t="s">
        <v>1824</v>
      </c>
      <c r="B77" s="157" t="s">
        <v>258</v>
      </c>
      <c r="C77" s="141" t="s">
        <v>1883</v>
      </c>
      <c r="D77" s="141" t="s">
        <v>1750</v>
      </c>
      <c r="E77" s="141" t="s">
        <v>1750</v>
      </c>
      <c r="F77" s="142" t="s">
        <v>1856</v>
      </c>
      <c r="G77" s="146">
        <v>521.58</v>
      </c>
      <c r="H77" s="142" t="s">
        <v>1857</v>
      </c>
      <c r="I77" s="142" t="s">
        <v>1821</v>
      </c>
      <c r="J77" s="142" t="s">
        <v>1754</v>
      </c>
      <c r="K77" s="142" t="s">
        <v>1755</v>
      </c>
      <c r="L77" s="142" t="s">
        <v>1756</v>
      </c>
      <c r="M77" s="142" t="s">
        <v>1757</v>
      </c>
      <c r="N77" s="142" t="s">
        <v>1775</v>
      </c>
      <c r="O77" s="142" t="s">
        <v>1776</v>
      </c>
      <c r="P77" s="142"/>
      <c r="Q77" s="142"/>
      <c r="R77" s="142" t="s">
        <v>1777</v>
      </c>
      <c r="S77" s="142" t="s">
        <v>1778</v>
      </c>
      <c r="T77" s="142" t="s">
        <v>1760</v>
      </c>
      <c r="U77" s="142" t="s">
        <v>1761</v>
      </c>
      <c r="V77" s="142"/>
      <c r="W77" s="142"/>
      <c r="X77" s="142"/>
      <c r="Y77" s="142"/>
      <c r="Z77" s="143" t="s">
        <v>1762</v>
      </c>
      <c r="AA77" s="142" t="s">
        <v>1763</v>
      </c>
      <c r="AB77" s="143"/>
      <c r="AC77" s="142"/>
      <c r="AD77" s="143"/>
      <c r="AE77" s="142"/>
      <c r="AF77" s="143"/>
      <c r="AG77" s="142"/>
      <c r="AH77" s="143" t="s">
        <v>1764</v>
      </c>
      <c r="AI77" s="142" t="s">
        <v>1765</v>
      </c>
      <c r="AJ77" s="143" t="s">
        <v>1766</v>
      </c>
      <c r="AK77" s="142" t="s">
        <v>1767</v>
      </c>
      <c r="AL77" s="143" t="s">
        <v>1782</v>
      </c>
      <c r="AM77" s="142" t="s">
        <v>1808</v>
      </c>
    </row>
    <row r="78" s="71" customFormat="1" spans="1:39">
      <c r="A78" s="156" t="s">
        <v>1826</v>
      </c>
      <c r="B78" s="157" t="s">
        <v>112</v>
      </c>
      <c r="C78" s="141" t="s">
        <v>1884</v>
      </c>
      <c r="D78" s="141" t="s">
        <v>1750</v>
      </c>
      <c r="E78" s="141" t="s">
        <v>1750</v>
      </c>
      <c r="F78" s="142" t="s">
        <v>1751</v>
      </c>
      <c r="G78" s="146">
        <v>420.68</v>
      </c>
      <c r="H78" s="142" t="s">
        <v>1752</v>
      </c>
      <c r="I78" s="142" t="s">
        <v>1821</v>
      </c>
      <c r="J78" s="142" t="s">
        <v>1754</v>
      </c>
      <c r="K78" s="142" t="s">
        <v>1755</v>
      </c>
      <c r="L78" s="142" t="s">
        <v>1756</v>
      </c>
      <c r="M78" s="142" t="s">
        <v>1757</v>
      </c>
      <c r="N78" s="142" t="s">
        <v>1758</v>
      </c>
      <c r="O78" s="142" t="s">
        <v>1759</v>
      </c>
      <c r="P78" s="142"/>
      <c r="Q78" s="142"/>
      <c r="R78" s="142" t="s">
        <v>1760</v>
      </c>
      <c r="S78" s="142" t="s">
        <v>1761</v>
      </c>
      <c r="T78" s="142" t="s">
        <v>1760</v>
      </c>
      <c r="U78" s="142" t="s">
        <v>1761</v>
      </c>
      <c r="V78" s="142"/>
      <c r="W78" s="142"/>
      <c r="X78" s="142"/>
      <c r="Y78" s="142"/>
      <c r="Z78" s="143" t="s">
        <v>1762</v>
      </c>
      <c r="AA78" s="142" t="s">
        <v>1763</v>
      </c>
      <c r="AB78" s="143"/>
      <c r="AC78" s="142"/>
      <c r="AD78" s="143"/>
      <c r="AE78" s="142"/>
      <c r="AF78" s="143"/>
      <c r="AG78" s="142"/>
      <c r="AH78" s="143" t="s">
        <v>1764</v>
      </c>
      <c r="AI78" s="142" t="s">
        <v>1765</v>
      </c>
      <c r="AJ78" s="143" t="s">
        <v>1766</v>
      </c>
      <c r="AK78" s="142" t="s">
        <v>1767</v>
      </c>
      <c r="AL78" s="143"/>
      <c r="AM78" s="142"/>
    </row>
    <row r="79" s="71" customFormat="1" spans="1:39">
      <c r="A79" s="156" t="s">
        <v>1828</v>
      </c>
      <c r="B79" s="157" t="s">
        <v>136</v>
      </c>
      <c r="C79" s="141" t="s">
        <v>1885</v>
      </c>
      <c r="D79" s="141" t="s">
        <v>1750</v>
      </c>
      <c r="E79" s="141" t="s">
        <v>1750</v>
      </c>
      <c r="F79" s="142" t="s">
        <v>1856</v>
      </c>
      <c r="G79" s="146">
        <v>521.58</v>
      </c>
      <c r="H79" s="142" t="s">
        <v>1857</v>
      </c>
      <c r="I79" s="142" t="s">
        <v>1821</v>
      </c>
      <c r="J79" s="142" t="s">
        <v>1754</v>
      </c>
      <c r="K79" s="142" t="s">
        <v>1755</v>
      </c>
      <c r="L79" s="142" t="s">
        <v>1756</v>
      </c>
      <c r="M79" s="142" t="s">
        <v>1757</v>
      </c>
      <c r="N79" s="142" t="s">
        <v>1775</v>
      </c>
      <c r="O79" s="142" t="s">
        <v>1776</v>
      </c>
      <c r="P79" s="142"/>
      <c r="Q79" s="142"/>
      <c r="R79" s="142" t="s">
        <v>1777</v>
      </c>
      <c r="S79" s="142" t="s">
        <v>1778</v>
      </c>
      <c r="T79" s="142" t="s">
        <v>1760</v>
      </c>
      <c r="U79" s="142" t="s">
        <v>1761</v>
      </c>
      <c r="V79" s="142"/>
      <c r="W79" s="142"/>
      <c r="X79" s="142"/>
      <c r="Y79" s="142"/>
      <c r="Z79" s="143" t="s">
        <v>1762</v>
      </c>
      <c r="AA79" s="142" t="s">
        <v>1763</v>
      </c>
      <c r="AB79" s="143"/>
      <c r="AC79" s="142"/>
      <c r="AD79" s="143"/>
      <c r="AE79" s="142"/>
      <c r="AF79" s="143"/>
      <c r="AG79" s="142"/>
      <c r="AH79" s="143" t="s">
        <v>1764</v>
      </c>
      <c r="AI79" s="142" t="s">
        <v>1765</v>
      </c>
      <c r="AJ79" s="143" t="s">
        <v>1766</v>
      </c>
      <c r="AK79" s="142" t="s">
        <v>1767</v>
      </c>
      <c r="AL79" s="143" t="s">
        <v>1782</v>
      </c>
      <c r="AM79" s="142" t="s">
        <v>1808</v>
      </c>
    </row>
    <row r="80" s="71" customFormat="1" spans="1:39">
      <c r="A80" s="156" t="s">
        <v>1830</v>
      </c>
      <c r="B80" s="157" t="s">
        <v>123</v>
      </c>
      <c r="C80" s="141" t="s">
        <v>1886</v>
      </c>
      <c r="D80" s="141" t="s">
        <v>1750</v>
      </c>
      <c r="E80" s="141" t="s">
        <v>1750</v>
      </c>
      <c r="F80" s="142" t="s">
        <v>1751</v>
      </c>
      <c r="G80" s="146">
        <v>420.68</v>
      </c>
      <c r="H80" s="142" t="s">
        <v>1752</v>
      </c>
      <c r="I80" s="142" t="s">
        <v>1821</v>
      </c>
      <c r="J80" s="142" t="s">
        <v>1754</v>
      </c>
      <c r="K80" s="142" t="s">
        <v>1755</v>
      </c>
      <c r="L80" s="142" t="s">
        <v>1756</v>
      </c>
      <c r="M80" s="142" t="s">
        <v>1757</v>
      </c>
      <c r="N80" s="142" t="s">
        <v>1758</v>
      </c>
      <c r="O80" s="142" t="s">
        <v>1759</v>
      </c>
      <c r="P80" s="142"/>
      <c r="Q80" s="142"/>
      <c r="R80" s="142" t="s">
        <v>1760</v>
      </c>
      <c r="S80" s="142" t="s">
        <v>1761</v>
      </c>
      <c r="T80" s="142" t="s">
        <v>1760</v>
      </c>
      <c r="U80" s="142" t="s">
        <v>1761</v>
      </c>
      <c r="V80" s="142"/>
      <c r="W80" s="142"/>
      <c r="X80" s="142"/>
      <c r="Y80" s="142"/>
      <c r="Z80" s="143" t="s">
        <v>1762</v>
      </c>
      <c r="AA80" s="142" t="s">
        <v>1763</v>
      </c>
      <c r="AB80" s="143"/>
      <c r="AC80" s="142"/>
      <c r="AD80" s="143"/>
      <c r="AE80" s="142"/>
      <c r="AF80" s="143"/>
      <c r="AG80" s="142"/>
      <c r="AH80" s="143" t="s">
        <v>1764</v>
      </c>
      <c r="AI80" s="142" t="s">
        <v>1765</v>
      </c>
      <c r="AJ80" s="143" t="s">
        <v>1766</v>
      </c>
      <c r="AK80" s="142" t="s">
        <v>1767</v>
      </c>
      <c r="AL80" s="143"/>
      <c r="AM80" s="142"/>
    </row>
    <row r="81" s="71" customFormat="1" spans="1:39">
      <c r="A81" s="156" t="s">
        <v>1832</v>
      </c>
      <c r="B81" s="157" t="s">
        <v>96</v>
      </c>
      <c r="C81" s="141" t="s">
        <v>1887</v>
      </c>
      <c r="D81" s="141" t="s">
        <v>1750</v>
      </c>
      <c r="E81" s="141" t="s">
        <v>1750</v>
      </c>
      <c r="F81" s="142" t="s">
        <v>1751</v>
      </c>
      <c r="G81" s="146">
        <v>420.68</v>
      </c>
      <c r="H81" s="142" t="s">
        <v>1752</v>
      </c>
      <c r="I81" s="142" t="s">
        <v>1821</v>
      </c>
      <c r="J81" s="142" t="s">
        <v>1754</v>
      </c>
      <c r="K81" s="142" t="s">
        <v>1755</v>
      </c>
      <c r="L81" s="142" t="s">
        <v>1756</v>
      </c>
      <c r="M81" s="142" t="s">
        <v>1757</v>
      </c>
      <c r="N81" s="142" t="s">
        <v>1758</v>
      </c>
      <c r="O81" s="142" t="s">
        <v>1759</v>
      </c>
      <c r="P81" s="142"/>
      <c r="Q81" s="142"/>
      <c r="R81" s="142" t="s">
        <v>1760</v>
      </c>
      <c r="S81" s="142" t="s">
        <v>1761</v>
      </c>
      <c r="T81" s="142" t="s">
        <v>1760</v>
      </c>
      <c r="U81" s="142" t="s">
        <v>1761</v>
      </c>
      <c r="V81" s="142"/>
      <c r="W81" s="142"/>
      <c r="X81" s="142"/>
      <c r="Y81" s="142"/>
      <c r="Z81" s="143" t="s">
        <v>1762</v>
      </c>
      <c r="AA81" s="142" t="s">
        <v>1763</v>
      </c>
      <c r="AB81" s="143"/>
      <c r="AC81" s="142"/>
      <c r="AD81" s="143"/>
      <c r="AE81" s="142"/>
      <c r="AF81" s="143"/>
      <c r="AG81" s="142"/>
      <c r="AH81" s="143" t="s">
        <v>1764</v>
      </c>
      <c r="AI81" s="142" t="s">
        <v>1765</v>
      </c>
      <c r="AJ81" s="143" t="s">
        <v>1766</v>
      </c>
      <c r="AK81" s="142" t="s">
        <v>1767</v>
      </c>
      <c r="AL81" s="143"/>
      <c r="AM81" s="142"/>
    </row>
    <row r="82" s="71" customFormat="1" spans="1:39">
      <c r="A82" s="156" t="s">
        <v>1836</v>
      </c>
      <c r="B82" s="157" t="s">
        <v>43</v>
      </c>
      <c r="C82" s="141" t="s">
        <v>1888</v>
      </c>
      <c r="D82" s="141" t="s">
        <v>1750</v>
      </c>
      <c r="E82" s="141" t="s">
        <v>1750</v>
      </c>
      <c r="F82" s="142" t="s">
        <v>1751</v>
      </c>
      <c r="G82" s="146">
        <v>420.68</v>
      </c>
      <c r="H82" s="142" t="s">
        <v>1752</v>
      </c>
      <c r="I82" s="142" t="s">
        <v>1821</v>
      </c>
      <c r="J82" s="142" t="s">
        <v>1754</v>
      </c>
      <c r="K82" s="142" t="s">
        <v>1755</v>
      </c>
      <c r="L82" s="142" t="s">
        <v>1756</v>
      </c>
      <c r="M82" s="142" t="s">
        <v>1757</v>
      </c>
      <c r="N82" s="142" t="s">
        <v>1758</v>
      </c>
      <c r="O82" s="142" t="s">
        <v>1759</v>
      </c>
      <c r="P82" s="142"/>
      <c r="Q82" s="142"/>
      <c r="R82" s="142" t="s">
        <v>1760</v>
      </c>
      <c r="S82" s="142" t="s">
        <v>1761</v>
      </c>
      <c r="T82" s="142" t="s">
        <v>1760</v>
      </c>
      <c r="U82" s="142" t="s">
        <v>1761</v>
      </c>
      <c r="V82" s="142"/>
      <c r="W82" s="142"/>
      <c r="X82" s="142"/>
      <c r="Y82" s="142"/>
      <c r="Z82" s="143" t="s">
        <v>1762</v>
      </c>
      <c r="AA82" s="142" t="s">
        <v>1763</v>
      </c>
      <c r="AB82" s="143"/>
      <c r="AC82" s="142"/>
      <c r="AD82" s="143"/>
      <c r="AE82" s="142"/>
      <c r="AF82" s="143"/>
      <c r="AG82" s="142"/>
      <c r="AH82" s="143" t="s">
        <v>1764</v>
      </c>
      <c r="AI82" s="142" t="s">
        <v>1765</v>
      </c>
      <c r="AJ82" s="143" t="s">
        <v>1766</v>
      </c>
      <c r="AK82" s="142" t="s">
        <v>1767</v>
      </c>
      <c r="AL82" s="143"/>
      <c r="AM82" s="142"/>
    </row>
    <row r="83" s="71" customFormat="1" spans="1:39">
      <c r="A83" s="156" t="s">
        <v>1838</v>
      </c>
      <c r="B83" s="157" t="s">
        <v>169</v>
      </c>
      <c r="C83" s="141" t="s">
        <v>1889</v>
      </c>
      <c r="D83" s="141" t="s">
        <v>1750</v>
      </c>
      <c r="E83" s="141" t="s">
        <v>1750</v>
      </c>
      <c r="F83" s="142" t="s">
        <v>1751</v>
      </c>
      <c r="G83" s="146">
        <v>420.68</v>
      </c>
      <c r="H83" s="142" t="s">
        <v>1752</v>
      </c>
      <c r="I83" s="142" t="s">
        <v>1821</v>
      </c>
      <c r="J83" s="142" t="s">
        <v>1754</v>
      </c>
      <c r="K83" s="142" t="s">
        <v>1755</v>
      </c>
      <c r="L83" s="142" t="s">
        <v>1756</v>
      </c>
      <c r="M83" s="142" t="s">
        <v>1757</v>
      </c>
      <c r="N83" s="142" t="s">
        <v>1758</v>
      </c>
      <c r="O83" s="142" t="s">
        <v>1759</v>
      </c>
      <c r="P83" s="142"/>
      <c r="Q83" s="142"/>
      <c r="R83" s="142" t="s">
        <v>1760</v>
      </c>
      <c r="S83" s="142" t="s">
        <v>1761</v>
      </c>
      <c r="T83" s="142" t="s">
        <v>1760</v>
      </c>
      <c r="U83" s="142" t="s">
        <v>1761</v>
      </c>
      <c r="V83" s="142"/>
      <c r="W83" s="142"/>
      <c r="X83" s="142"/>
      <c r="Y83" s="142"/>
      <c r="Z83" s="143" t="s">
        <v>1762</v>
      </c>
      <c r="AA83" s="142" t="s">
        <v>1763</v>
      </c>
      <c r="AB83" s="143"/>
      <c r="AC83" s="142"/>
      <c r="AD83" s="143"/>
      <c r="AE83" s="142"/>
      <c r="AF83" s="143"/>
      <c r="AG83" s="142"/>
      <c r="AH83" s="143" t="s">
        <v>1764</v>
      </c>
      <c r="AI83" s="142" t="s">
        <v>1765</v>
      </c>
      <c r="AJ83" s="143" t="s">
        <v>1766</v>
      </c>
      <c r="AK83" s="142" t="s">
        <v>1767</v>
      </c>
      <c r="AL83" s="143"/>
      <c r="AM83" s="142"/>
    </row>
    <row r="84" s="71" customFormat="1" spans="1:39">
      <c r="A84" s="156" t="s">
        <v>1890</v>
      </c>
      <c r="B84" s="157" t="s">
        <v>34</v>
      </c>
      <c r="C84" s="141" t="s">
        <v>1891</v>
      </c>
      <c r="D84" s="141" t="s">
        <v>1750</v>
      </c>
      <c r="E84" s="141" t="s">
        <v>1750</v>
      </c>
      <c r="F84" s="142" t="s">
        <v>1751</v>
      </c>
      <c r="G84" s="146">
        <v>420.68</v>
      </c>
      <c r="H84" s="142" t="s">
        <v>1752</v>
      </c>
      <c r="I84" s="142" t="s">
        <v>1821</v>
      </c>
      <c r="J84" s="142" t="s">
        <v>1754</v>
      </c>
      <c r="K84" s="142" t="s">
        <v>1755</v>
      </c>
      <c r="L84" s="142" t="s">
        <v>1756</v>
      </c>
      <c r="M84" s="142" t="s">
        <v>1757</v>
      </c>
      <c r="N84" s="142" t="s">
        <v>1758</v>
      </c>
      <c r="O84" s="142" t="s">
        <v>1759</v>
      </c>
      <c r="P84" s="142"/>
      <c r="Q84" s="142"/>
      <c r="R84" s="142" t="s">
        <v>1760</v>
      </c>
      <c r="S84" s="142" t="s">
        <v>1761</v>
      </c>
      <c r="T84" s="142" t="s">
        <v>1760</v>
      </c>
      <c r="U84" s="142" t="s">
        <v>1761</v>
      </c>
      <c r="V84" s="142"/>
      <c r="W84" s="142"/>
      <c r="X84" s="142"/>
      <c r="Y84" s="142"/>
      <c r="Z84" s="143" t="s">
        <v>1762</v>
      </c>
      <c r="AA84" s="142" t="s">
        <v>1763</v>
      </c>
      <c r="AB84" s="143"/>
      <c r="AC84" s="142"/>
      <c r="AD84" s="143"/>
      <c r="AE84" s="142"/>
      <c r="AF84" s="143"/>
      <c r="AG84" s="142"/>
      <c r="AH84" s="143" t="s">
        <v>1764</v>
      </c>
      <c r="AI84" s="142" t="s">
        <v>1765</v>
      </c>
      <c r="AJ84" s="143" t="s">
        <v>1766</v>
      </c>
      <c r="AK84" s="142" t="s">
        <v>1767</v>
      </c>
      <c r="AL84" s="143"/>
      <c r="AM84" s="142"/>
    </row>
    <row r="85" s="71" customFormat="1" spans="1:39">
      <c r="A85" s="156" t="s">
        <v>1892</v>
      </c>
      <c r="B85" s="157" t="s">
        <v>36</v>
      </c>
      <c r="C85" s="141" t="s">
        <v>1893</v>
      </c>
      <c r="D85" s="141" t="s">
        <v>1750</v>
      </c>
      <c r="E85" s="141" t="s">
        <v>1750</v>
      </c>
      <c r="F85" s="142" t="s">
        <v>1751</v>
      </c>
      <c r="G85" s="146">
        <v>420.68</v>
      </c>
      <c r="H85" s="142" t="s">
        <v>1752</v>
      </c>
      <c r="I85" s="142" t="s">
        <v>1821</v>
      </c>
      <c r="J85" s="142" t="s">
        <v>1754</v>
      </c>
      <c r="K85" s="142" t="s">
        <v>1755</v>
      </c>
      <c r="L85" s="142" t="s">
        <v>1756</v>
      </c>
      <c r="M85" s="142" t="s">
        <v>1757</v>
      </c>
      <c r="N85" s="142" t="s">
        <v>1758</v>
      </c>
      <c r="O85" s="142" t="s">
        <v>1759</v>
      </c>
      <c r="P85" s="142"/>
      <c r="Q85" s="142"/>
      <c r="R85" s="142" t="s">
        <v>1760</v>
      </c>
      <c r="S85" s="142" t="s">
        <v>1761</v>
      </c>
      <c r="T85" s="142" t="s">
        <v>1760</v>
      </c>
      <c r="U85" s="142" t="s">
        <v>1761</v>
      </c>
      <c r="V85" s="142"/>
      <c r="W85" s="142"/>
      <c r="X85" s="142"/>
      <c r="Y85" s="142"/>
      <c r="Z85" s="143" t="s">
        <v>1762</v>
      </c>
      <c r="AA85" s="142" t="s">
        <v>1763</v>
      </c>
      <c r="AB85" s="143"/>
      <c r="AC85" s="142"/>
      <c r="AD85" s="143"/>
      <c r="AE85" s="142"/>
      <c r="AF85" s="143"/>
      <c r="AG85" s="142"/>
      <c r="AH85" s="143" t="s">
        <v>1764</v>
      </c>
      <c r="AI85" s="142" t="s">
        <v>1765</v>
      </c>
      <c r="AJ85" s="143" t="s">
        <v>1766</v>
      </c>
      <c r="AK85" s="142" t="s">
        <v>1767</v>
      </c>
      <c r="AL85" s="143"/>
      <c r="AM85" s="142"/>
    </row>
    <row r="86" s="71" customFormat="1" spans="1:39">
      <c r="A86" s="156" t="s">
        <v>1894</v>
      </c>
      <c r="B86" s="157" t="s">
        <v>66</v>
      </c>
      <c r="C86" s="141" t="s">
        <v>1895</v>
      </c>
      <c r="D86" s="141" t="s">
        <v>1750</v>
      </c>
      <c r="E86" s="141" t="s">
        <v>1750</v>
      </c>
      <c r="F86" s="142" t="s">
        <v>1856</v>
      </c>
      <c r="G86" s="146">
        <v>521.58</v>
      </c>
      <c r="H86" s="142" t="s">
        <v>1857</v>
      </c>
      <c r="I86" s="142" t="s">
        <v>1821</v>
      </c>
      <c r="J86" s="142" t="s">
        <v>1754</v>
      </c>
      <c r="K86" s="142" t="s">
        <v>1755</v>
      </c>
      <c r="L86" s="142" t="s">
        <v>1756</v>
      </c>
      <c r="M86" s="142" t="s">
        <v>1757</v>
      </c>
      <c r="N86" s="142" t="s">
        <v>1775</v>
      </c>
      <c r="O86" s="142" t="s">
        <v>1776</v>
      </c>
      <c r="P86" s="142"/>
      <c r="Q86" s="142"/>
      <c r="R86" s="142" t="s">
        <v>1777</v>
      </c>
      <c r="S86" s="142" t="s">
        <v>1778</v>
      </c>
      <c r="T86" s="142" t="s">
        <v>1760</v>
      </c>
      <c r="U86" s="142" t="s">
        <v>1761</v>
      </c>
      <c r="V86" s="142"/>
      <c r="W86" s="142"/>
      <c r="X86" s="142"/>
      <c r="Y86" s="142"/>
      <c r="Z86" s="143" t="s">
        <v>1762</v>
      </c>
      <c r="AA86" s="142" t="s">
        <v>1763</v>
      </c>
      <c r="AB86" s="143"/>
      <c r="AC86" s="142"/>
      <c r="AD86" s="143"/>
      <c r="AE86" s="142"/>
      <c r="AF86" s="143"/>
      <c r="AG86" s="142"/>
      <c r="AH86" s="143" t="s">
        <v>1764</v>
      </c>
      <c r="AI86" s="142" t="s">
        <v>1765</v>
      </c>
      <c r="AJ86" s="143" t="s">
        <v>1766</v>
      </c>
      <c r="AK86" s="142" t="s">
        <v>1767</v>
      </c>
      <c r="AL86" s="143" t="s">
        <v>1782</v>
      </c>
      <c r="AM86" s="142" t="s">
        <v>1808</v>
      </c>
    </row>
    <row r="87" s="71" customFormat="1" spans="1:39">
      <c r="A87" s="156" t="s">
        <v>1896</v>
      </c>
      <c r="B87" s="157" t="s">
        <v>94</v>
      </c>
      <c r="C87" s="141" t="s">
        <v>1897</v>
      </c>
      <c r="D87" s="141" t="s">
        <v>1750</v>
      </c>
      <c r="E87" s="141" t="s">
        <v>1750</v>
      </c>
      <c r="F87" s="142" t="s">
        <v>1751</v>
      </c>
      <c r="G87" s="146">
        <v>420.68</v>
      </c>
      <c r="H87" s="142" t="s">
        <v>1752</v>
      </c>
      <c r="I87" s="142" t="s">
        <v>1821</v>
      </c>
      <c r="J87" s="142" t="s">
        <v>1754</v>
      </c>
      <c r="K87" s="142" t="s">
        <v>1755</v>
      </c>
      <c r="L87" s="142" t="s">
        <v>1756</v>
      </c>
      <c r="M87" s="142" t="s">
        <v>1757</v>
      </c>
      <c r="N87" s="142" t="s">
        <v>1758</v>
      </c>
      <c r="O87" s="142" t="s">
        <v>1759</v>
      </c>
      <c r="P87" s="142"/>
      <c r="Q87" s="142"/>
      <c r="R87" s="142" t="s">
        <v>1760</v>
      </c>
      <c r="S87" s="142" t="s">
        <v>1761</v>
      </c>
      <c r="T87" s="142" t="s">
        <v>1760</v>
      </c>
      <c r="U87" s="142" t="s">
        <v>1761</v>
      </c>
      <c r="V87" s="142"/>
      <c r="W87" s="142"/>
      <c r="X87" s="142"/>
      <c r="Y87" s="142"/>
      <c r="Z87" s="143" t="s">
        <v>1762</v>
      </c>
      <c r="AA87" s="142" t="s">
        <v>1763</v>
      </c>
      <c r="AB87" s="143"/>
      <c r="AC87" s="142"/>
      <c r="AD87" s="143"/>
      <c r="AE87" s="142"/>
      <c r="AF87" s="143"/>
      <c r="AG87" s="142"/>
      <c r="AH87" s="143" t="s">
        <v>1764</v>
      </c>
      <c r="AI87" s="142" t="s">
        <v>1765</v>
      </c>
      <c r="AJ87" s="143" t="s">
        <v>1766</v>
      </c>
      <c r="AK87" s="142" t="s">
        <v>1767</v>
      </c>
      <c r="AL87" s="143"/>
      <c r="AM87" s="142"/>
    </row>
    <row r="88" s="71" customFormat="1" spans="1:39">
      <c r="A88" s="156" t="s">
        <v>1898</v>
      </c>
      <c r="B88" s="157" t="s">
        <v>61</v>
      </c>
      <c r="C88" s="141" t="s">
        <v>1899</v>
      </c>
      <c r="D88" s="141" t="s">
        <v>1750</v>
      </c>
      <c r="E88" s="141" t="s">
        <v>1750</v>
      </c>
      <c r="F88" s="142" t="s">
        <v>1856</v>
      </c>
      <c r="G88" s="146">
        <v>521.58</v>
      </c>
      <c r="H88" s="142" t="s">
        <v>1857</v>
      </c>
      <c r="I88" s="142" t="s">
        <v>1821</v>
      </c>
      <c r="J88" s="142" t="s">
        <v>1754</v>
      </c>
      <c r="K88" s="142" t="s">
        <v>1755</v>
      </c>
      <c r="L88" s="142" t="s">
        <v>1756</v>
      </c>
      <c r="M88" s="142" t="s">
        <v>1757</v>
      </c>
      <c r="N88" s="142" t="s">
        <v>1775</v>
      </c>
      <c r="O88" s="142" t="s">
        <v>1776</v>
      </c>
      <c r="P88" s="142"/>
      <c r="Q88" s="142"/>
      <c r="R88" s="142" t="s">
        <v>1777</v>
      </c>
      <c r="S88" s="142" t="s">
        <v>1778</v>
      </c>
      <c r="T88" s="142" t="s">
        <v>1760</v>
      </c>
      <c r="U88" s="142" t="s">
        <v>1761</v>
      </c>
      <c r="V88" s="142"/>
      <c r="W88" s="142"/>
      <c r="X88" s="142"/>
      <c r="Y88" s="142"/>
      <c r="Z88" s="143" t="s">
        <v>1762</v>
      </c>
      <c r="AA88" s="142" t="s">
        <v>1763</v>
      </c>
      <c r="AB88" s="143"/>
      <c r="AC88" s="142"/>
      <c r="AD88" s="143"/>
      <c r="AE88" s="142"/>
      <c r="AF88" s="143"/>
      <c r="AG88" s="142"/>
      <c r="AH88" s="143" t="s">
        <v>1764</v>
      </c>
      <c r="AI88" s="142" t="s">
        <v>1765</v>
      </c>
      <c r="AJ88" s="143" t="s">
        <v>1766</v>
      </c>
      <c r="AK88" s="142" t="s">
        <v>1767</v>
      </c>
      <c r="AL88" s="143" t="s">
        <v>1782</v>
      </c>
      <c r="AM88" s="142" t="s">
        <v>1808</v>
      </c>
    </row>
    <row r="89" s="71" customFormat="1" spans="1:39">
      <c r="A89" s="156" t="s">
        <v>1900</v>
      </c>
      <c r="B89" s="157" t="s">
        <v>71</v>
      </c>
      <c r="C89" s="141" t="s">
        <v>1901</v>
      </c>
      <c r="D89" s="141" t="s">
        <v>1750</v>
      </c>
      <c r="E89" s="141" t="s">
        <v>1750</v>
      </c>
      <c r="F89" s="142" t="s">
        <v>1751</v>
      </c>
      <c r="G89" s="146">
        <v>420.68</v>
      </c>
      <c r="H89" s="142" t="s">
        <v>1752</v>
      </c>
      <c r="I89" s="142" t="s">
        <v>1821</v>
      </c>
      <c r="J89" s="142" t="s">
        <v>1754</v>
      </c>
      <c r="K89" s="142" t="s">
        <v>1755</v>
      </c>
      <c r="L89" s="142" t="s">
        <v>1756</v>
      </c>
      <c r="M89" s="142" t="s">
        <v>1757</v>
      </c>
      <c r="N89" s="142" t="s">
        <v>1758</v>
      </c>
      <c r="O89" s="142" t="s">
        <v>1759</v>
      </c>
      <c r="P89" s="142"/>
      <c r="Q89" s="142"/>
      <c r="R89" s="142" t="s">
        <v>1760</v>
      </c>
      <c r="S89" s="142" t="s">
        <v>1761</v>
      </c>
      <c r="T89" s="142" t="s">
        <v>1760</v>
      </c>
      <c r="U89" s="142" t="s">
        <v>1761</v>
      </c>
      <c r="V89" s="142"/>
      <c r="W89" s="142"/>
      <c r="X89" s="142"/>
      <c r="Y89" s="142"/>
      <c r="Z89" s="143" t="s">
        <v>1762</v>
      </c>
      <c r="AA89" s="142" t="s">
        <v>1763</v>
      </c>
      <c r="AB89" s="143"/>
      <c r="AC89" s="142"/>
      <c r="AD89" s="143"/>
      <c r="AE89" s="142"/>
      <c r="AF89" s="143"/>
      <c r="AG89" s="142"/>
      <c r="AH89" s="143" t="s">
        <v>1764</v>
      </c>
      <c r="AI89" s="142" t="s">
        <v>1765</v>
      </c>
      <c r="AJ89" s="143" t="s">
        <v>1766</v>
      </c>
      <c r="AK89" s="142" t="s">
        <v>1767</v>
      </c>
      <c r="AL89" s="143"/>
      <c r="AM89" s="142"/>
    </row>
    <row r="90" s="71" customFormat="1" spans="1:39">
      <c r="A90" s="156" t="s">
        <v>1902</v>
      </c>
      <c r="B90" s="157" t="s">
        <v>179</v>
      </c>
      <c r="C90" s="141" t="s">
        <v>1903</v>
      </c>
      <c r="D90" s="141" t="s">
        <v>1750</v>
      </c>
      <c r="E90" s="141" t="s">
        <v>1750</v>
      </c>
      <c r="F90" s="142" t="s">
        <v>1751</v>
      </c>
      <c r="G90" s="146">
        <v>420.68</v>
      </c>
      <c r="H90" s="142" t="s">
        <v>1752</v>
      </c>
      <c r="I90" s="142" t="s">
        <v>1821</v>
      </c>
      <c r="J90" s="142" t="s">
        <v>1754</v>
      </c>
      <c r="K90" s="142" t="s">
        <v>1755</v>
      </c>
      <c r="L90" s="142" t="s">
        <v>1756</v>
      </c>
      <c r="M90" s="142" t="s">
        <v>1757</v>
      </c>
      <c r="N90" s="142" t="s">
        <v>1758</v>
      </c>
      <c r="O90" s="142" t="s">
        <v>1759</v>
      </c>
      <c r="P90" s="142"/>
      <c r="Q90" s="142"/>
      <c r="R90" s="142" t="s">
        <v>1760</v>
      </c>
      <c r="S90" s="142" t="s">
        <v>1761</v>
      </c>
      <c r="T90" s="142" t="s">
        <v>1760</v>
      </c>
      <c r="U90" s="142" t="s">
        <v>1761</v>
      </c>
      <c r="V90" s="142"/>
      <c r="W90" s="142"/>
      <c r="X90" s="142"/>
      <c r="Y90" s="142"/>
      <c r="Z90" s="143" t="s">
        <v>1762</v>
      </c>
      <c r="AA90" s="142" t="s">
        <v>1763</v>
      </c>
      <c r="AB90" s="143"/>
      <c r="AC90" s="142"/>
      <c r="AD90" s="143"/>
      <c r="AE90" s="142"/>
      <c r="AF90" s="143"/>
      <c r="AG90" s="142"/>
      <c r="AH90" s="143" t="s">
        <v>1764</v>
      </c>
      <c r="AI90" s="142" t="s">
        <v>1765</v>
      </c>
      <c r="AJ90" s="143" t="s">
        <v>1766</v>
      </c>
      <c r="AK90" s="142" t="s">
        <v>1767</v>
      </c>
      <c r="AL90" s="143"/>
      <c r="AM90" s="142"/>
    </row>
    <row r="91" s="71" customFormat="1" spans="1:39">
      <c r="A91" s="156" t="s">
        <v>1904</v>
      </c>
      <c r="B91" s="157" t="s">
        <v>82</v>
      </c>
      <c r="C91" s="141" t="s">
        <v>1905</v>
      </c>
      <c r="D91" s="141" t="s">
        <v>1750</v>
      </c>
      <c r="E91" s="141" t="s">
        <v>1750</v>
      </c>
      <c r="F91" s="142" t="s">
        <v>1856</v>
      </c>
      <c r="G91" s="146">
        <v>521.58</v>
      </c>
      <c r="H91" s="142" t="s">
        <v>1857</v>
      </c>
      <c r="I91" s="142" t="s">
        <v>1821</v>
      </c>
      <c r="J91" s="142" t="s">
        <v>1754</v>
      </c>
      <c r="K91" s="142" t="s">
        <v>1755</v>
      </c>
      <c r="L91" s="142" t="s">
        <v>1756</v>
      </c>
      <c r="M91" s="142" t="s">
        <v>1757</v>
      </c>
      <c r="N91" s="142" t="s">
        <v>1775</v>
      </c>
      <c r="O91" s="142" t="s">
        <v>1776</v>
      </c>
      <c r="P91" s="142"/>
      <c r="Q91" s="142"/>
      <c r="R91" s="142" t="s">
        <v>1777</v>
      </c>
      <c r="S91" s="142" t="s">
        <v>1778</v>
      </c>
      <c r="T91" s="142" t="s">
        <v>1760</v>
      </c>
      <c r="U91" s="142" t="s">
        <v>1761</v>
      </c>
      <c r="V91" s="142"/>
      <c r="W91" s="142"/>
      <c r="X91" s="142"/>
      <c r="Y91" s="142"/>
      <c r="Z91" s="143" t="s">
        <v>1762</v>
      </c>
      <c r="AA91" s="142" t="s">
        <v>1763</v>
      </c>
      <c r="AB91" s="143"/>
      <c r="AC91" s="142"/>
      <c r="AD91" s="143"/>
      <c r="AE91" s="142"/>
      <c r="AF91" s="143"/>
      <c r="AG91" s="142"/>
      <c r="AH91" s="143" t="s">
        <v>1764</v>
      </c>
      <c r="AI91" s="142" t="s">
        <v>1765</v>
      </c>
      <c r="AJ91" s="143" t="s">
        <v>1766</v>
      </c>
      <c r="AK91" s="142" t="s">
        <v>1767</v>
      </c>
      <c r="AL91" s="143" t="s">
        <v>1782</v>
      </c>
      <c r="AM91" s="142" t="s">
        <v>1808</v>
      </c>
    </row>
    <row r="92" s="71" customFormat="1" spans="1:39">
      <c r="A92" s="156" t="s">
        <v>1906</v>
      </c>
      <c r="B92" s="157" t="s">
        <v>115</v>
      </c>
      <c r="C92" s="141" t="s">
        <v>1907</v>
      </c>
      <c r="D92" s="141" t="s">
        <v>1750</v>
      </c>
      <c r="E92" s="141" t="s">
        <v>1750</v>
      </c>
      <c r="F92" s="142" t="s">
        <v>1856</v>
      </c>
      <c r="G92" s="146">
        <v>521.58</v>
      </c>
      <c r="H92" s="142" t="s">
        <v>1857</v>
      </c>
      <c r="I92" s="142" t="s">
        <v>1821</v>
      </c>
      <c r="J92" s="142" t="s">
        <v>1754</v>
      </c>
      <c r="K92" s="142" t="s">
        <v>1755</v>
      </c>
      <c r="L92" s="142" t="s">
        <v>1756</v>
      </c>
      <c r="M92" s="142" t="s">
        <v>1757</v>
      </c>
      <c r="N92" s="142" t="s">
        <v>1775</v>
      </c>
      <c r="O92" s="142" t="s">
        <v>1776</v>
      </c>
      <c r="P92" s="142"/>
      <c r="Q92" s="142"/>
      <c r="R92" s="142" t="s">
        <v>1777</v>
      </c>
      <c r="S92" s="142" t="s">
        <v>1778</v>
      </c>
      <c r="T92" s="142" t="s">
        <v>1760</v>
      </c>
      <c r="U92" s="142" t="s">
        <v>1761</v>
      </c>
      <c r="V92" s="142"/>
      <c r="W92" s="142"/>
      <c r="X92" s="142"/>
      <c r="Y92" s="142"/>
      <c r="Z92" s="143" t="s">
        <v>1762</v>
      </c>
      <c r="AA92" s="142" t="s">
        <v>1763</v>
      </c>
      <c r="AB92" s="143"/>
      <c r="AC92" s="142"/>
      <c r="AD92" s="143"/>
      <c r="AE92" s="142"/>
      <c r="AF92" s="143"/>
      <c r="AG92" s="142"/>
      <c r="AH92" s="143" t="s">
        <v>1764</v>
      </c>
      <c r="AI92" s="142" t="s">
        <v>1765</v>
      </c>
      <c r="AJ92" s="143" t="s">
        <v>1766</v>
      </c>
      <c r="AK92" s="142" t="s">
        <v>1767</v>
      </c>
      <c r="AL92" s="143" t="s">
        <v>1782</v>
      </c>
      <c r="AM92" s="142" t="s">
        <v>1808</v>
      </c>
    </row>
    <row r="93" s="71" customFormat="1" spans="1:39">
      <c r="A93" s="156" t="s">
        <v>1908</v>
      </c>
      <c r="B93" s="157" t="s">
        <v>75</v>
      </c>
      <c r="C93" s="141" t="s">
        <v>1909</v>
      </c>
      <c r="D93" s="141" t="s">
        <v>1750</v>
      </c>
      <c r="E93" s="141" t="s">
        <v>1750</v>
      </c>
      <c r="F93" s="142" t="s">
        <v>1751</v>
      </c>
      <c r="G93" s="146">
        <v>420.68</v>
      </c>
      <c r="H93" s="142" t="s">
        <v>1752</v>
      </c>
      <c r="I93" s="142" t="s">
        <v>1821</v>
      </c>
      <c r="J93" s="142" t="s">
        <v>1754</v>
      </c>
      <c r="K93" s="142" t="s">
        <v>1755</v>
      </c>
      <c r="L93" s="142" t="s">
        <v>1756</v>
      </c>
      <c r="M93" s="142" t="s">
        <v>1757</v>
      </c>
      <c r="N93" s="142" t="s">
        <v>1758</v>
      </c>
      <c r="O93" s="142" t="s">
        <v>1759</v>
      </c>
      <c r="P93" s="142"/>
      <c r="Q93" s="142"/>
      <c r="R93" s="142" t="s">
        <v>1760</v>
      </c>
      <c r="S93" s="142" t="s">
        <v>1761</v>
      </c>
      <c r="T93" s="142" t="s">
        <v>1760</v>
      </c>
      <c r="U93" s="142" t="s">
        <v>1761</v>
      </c>
      <c r="V93" s="142"/>
      <c r="W93" s="142"/>
      <c r="X93" s="142"/>
      <c r="Y93" s="142"/>
      <c r="Z93" s="143" t="s">
        <v>1762</v>
      </c>
      <c r="AA93" s="142" t="s">
        <v>1763</v>
      </c>
      <c r="AB93" s="143"/>
      <c r="AC93" s="142"/>
      <c r="AD93" s="143"/>
      <c r="AE93" s="142"/>
      <c r="AF93" s="143"/>
      <c r="AG93" s="142"/>
      <c r="AH93" s="143" t="s">
        <v>1764</v>
      </c>
      <c r="AI93" s="142" t="s">
        <v>1765</v>
      </c>
      <c r="AJ93" s="143" t="s">
        <v>1766</v>
      </c>
      <c r="AK93" s="142" t="s">
        <v>1767</v>
      </c>
      <c r="AL93" s="143"/>
      <c r="AM93" s="142"/>
    </row>
    <row r="94" s="71" customFormat="1" spans="1:39">
      <c r="A94" s="156" t="s">
        <v>1910</v>
      </c>
      <c r="B94" s="157" t="s">
        <v>110</v>
      </c>
      <c r="C94" s="141" t="s">
        <v>1911</v>
      </c>
      <c r="D94" s="141" t="s">
        <v>1750</v>
      </c>
      <c r="E94" s="141" t="s">
        <v>1750</v>
      </c>
      <c r="F94" s="142" t="s">
        <v>1751</v>
      </c>
      <c r="G94" s="146">
        <v>420.68</v>
      </c>
      <c r="H94" s="142" t="s">
        <v>1752</v>
      </c>
      <c r="I94" s="142" t="s">
        <v>1821</v>
      </c>
      <c r="J94" s="142" t="s">
        <v>1754</v>
      </c>
      <c r="K94" s="142" t="s">
        <v>1755</v>
      </c>
      <c r="L94" s="142" t="s">
        <v>1756</v>
      </c>
      <c r="M94" s="142" t="s">
        <v>1757</v>
      </c>
      <c r="N94" s="142" t="s">
        <v>1758</v>
      </c>
      <c r="O94" s="142" t="s">
        <v>1759</v>
      </c>
      <c r="P94" s="142"/>
      <c r="Q94" s="142"/>
      <c r="R94" s="142" t="s">
        <v>1760</v>
      </c>
      <c r="S94" s="142" t="s">
        <v>1761</v>
      </c>
      <c r="T94" s="142" t="s">
        <v>1760</v>
      </c>
      <c r="U94" s="142" t="s">
        <v>1761</v>
      </c>
      <c r="V94" s="142"/>
      <c r="W94" s="142"/>
      <c r="X94" s="142"/>
      <c r="Y94" s="142"/>
      <c r="Z94" s="143" t="s">
        <v>1762</v>
      </c>
      <c r="AA94" s="142" t="s">
        <v>1763</v>
      </c>
      <c r="AB94" s="143"/>
      <c r="AC94" s="142"/>
      <c r="AD94" s="143"/>
      <c r="AE94" s="142"/>
      <c r="AF94" s="143"/>
      <c r="AG94" s="142"/>
      <c r="AH94" s="143" t="s">
        <v>1764</v>
      </c>
      <c r="AI94" s="142" t="s">
        <v>1765</v>
      </c>
      <c r="AJ94" s="143" t="s">
        <v>1766</v>
      </c>
      <c r="AK94" s="142" t="s">
        <v>1767</v>
      </c>
      <c r="AL94" s="143"/>
      <c r="AM94" s="142"/>
    </row>
    <row r="95" s="71" customFormat="1" spans="1:39">
      <c r="A95" s="156" t="s">
        <v>1912</v>
      </c>
      <c r="B95" s="157" t="s">
        <v>138</v>
      </c>
      <c r="C95" s="141" t="s">
        <v>1913</v>
      </c>
      <c r="D95" s="141" t="s">
        <v>1750</v>
      </c>
      <c r="E95" s="141" t="s">
        <v>1750</v>
      </c>
      <c r="F95" s="142" t="s">
        <v>1856</v>
      </c>
      <c r="G95" s="146">
        <v>521.58</v>
      </c>
      <c r="H95" s="142" t="s">
        <v>1857</v>
      </c>
      <c r="I95" s="142" t="s">
        <v>1821</v>
      </c>
      <c r="J95" s="142" t="s">
        <v>1754</v>
      </c>
      <c r="K95" s="142" t="s">
        <v>1755</v>
      </c>
      <c r="L95" s="142" t="s">
        <v>1756</v>
      </c>
      <c r="M95" s="142" t="s">
        <v>1757</v>
      </c>
      <c r="N95" s="142" t="s">
        <v>1775</v>
      </c>
      <c r="O95" s="142" t="s">
        <v>1776</v>
      </c>
      <c r="P95" s="142"/>
      <c r="Q95" s="142"/>
      <c r="R95" s="142" t="s">
        <v>1777</v>
      </c>
      <c r="S95" s="142" t="s">
        <v>1778</v>
      </c>
      <c r="T95" s="142" t="s">
        <v>1760</v>
      </c>
      <c r="U95" s="142" t="s">
        <v>1761</v>
      </c>
      <c r="V95" s="142"/>
      <c r="W95" s="142"/>
      <c r="X95" s="142"/>
      <c r="Y95" s="142"/>
      <c r="Z95" s="143" t="s">
        <v>1762</v>
      </c>
      <c r="AA95" s="142" t="s">
        <v>1763</v>
      </c>
      <c r="AB95" s="143"/>
      <c r="AC95" s="142"/>
      <c r="AD95" s="143"/>
      <c r="AE95" s="142"/>
      <c r="AF95" s="143"/>
      <c r="AG95" s="142"/>
      <c r="AH95" s="143" t="s">
        <v>1764</v>
      </c>
      <c r="AI95" s="142" t="s">
        <v>1765</v>
      </c>
      <c r="AJ95" s="143" t="s">
        <v>1766</v>
      </c>
      <c r="AK95" s="142" t="s">
        <v>1767</v>
      </c>
      <c r="AL95" s="143" t="s">
        <v>1782</v>
      </c>
      <c r="AM95" s="142" t="s">
        <v>1808</v>
      </c>
    </row>
    <row r="96" s="71" customFormat="1" spans="1:39">
      <c r="A96" s="156" t="s">
        <v>1375</v>
      </c>
      <c r="B96" s="157" t="s">
        <v>140</v>
      </c>
      <c r="C96" s="141" t="s">
        <v>1914</v>
      </c>
      <c r="D96" s="141" t="s">
        <v>1750</v>
      </c>
      <c r="E96" s="141" t="s">
        <v>1750</v>
      </c>
      <c r="F96" s="142" t="s">
        <v>1751</v>
      </c>
      <c r="G96" s="146">
        <v>420.68</v>
      </c>
      <c r="H96" s="142" t="s">
        <v>1752</v>
      </c>
      <c r="I96" s="142" t="s">
        <v>1821</v>
      </c>
      <c r="J96" s="142" t="s">
        <v>1754</v>
      </c>
      <c r="K96" s="142" t="s">
        <v>1755</v>
      </c>
      <c r="L96" s="142" t="s">
        <v>1756</v>
      </c>
      <c r="M96" s="142" t="s">
        <v>1757</v>
      </c>
      <c r="N96" s="142" t="s">
        <v>1758</v>
      </c>
      <c r="O96" s="142" t="s">
        <v>1759</v>
      </c>
      <c r="P96" s="142"/>
      <c r="Q96" s="142"/>
      <c r="R96" s="142" t="s">
        <v>1760</v>
      </c>
      <c r="S96" s="142" t="s">
        <v>1761</v>
      </c>
      <c r="T96" s="142" t="s">
        <v>1760</v>
      </c>
      <c r="U96" s="142" t="s">
        <v>1761</v>
      </c>
      <c r="V96" s="142"/>
      <c r="W96" s="142"/>
      <c r="X96" s="142"/>
      <c r="Y96" s="142"/>
      <c r="Z96" s="143" t="s">
        <v>1762</v>
      </c>
      <c r="AA96" s="142" t="s">
        <v>1763</v>
      </c>
      <c r="AB96" s="143"/>
      <c r="AC96" s="142"/>
      <c r="AD96" s="143"/>
      <c r="AE96" s="142"/>
      <c r="AF96" s="143"/>
      <c r="AG96" s="142"/>
      <c r="AH96" s="143" t="s">
        <v>1764</v>
      </c>
      <c r="AI96" s="142" t="s">
        <v>1765</v>
      </c>
      <c r="AJ96" s="143" t="s">
        <v>1766</v>
      </c>
      <c r="AK96" s="142" t="s">
        <v>1767</v>
      </c>
      <c r="AL96" s="143"/>
      <c r="AM96" s="142"/>
    </row>
    <row r="97" s="71" customFormat="1" spans="1:39">
      <c r="A97" s="156" t="s">
        <v>1915</v>
      </c>
      <c r="B97" s="157" t="s">
        <v>134</v>
      </c>
      <c r="C97" s="141" t="s">
        <v>1916</v>
      </c>
      <c r="D97" s="141" t="s">
        <v>1750</v>
      </c>
      <c r="E97" s="141" t="s">
        <v>1750</v>
      </c>
      <c r="F97" s="142" t="s">
        <v>1751</v>
      </c>
      <c r="G97" s="146">
        <v>420.68</v>
      </c>
      <c r="H97" s="142" t="s">
        <v>1752</v>
      </c>
      <c r="I97" s="142" t="s">
        <v>1821</v>
      </c>
      <c r="J97" s="142" t="s">
        <v>1754</v>
      </c>
      <c r="K97" s="142" t="s">
        <v>1755</v>
      </c>
      <c r="L97" s="142" t="s">
        <v>1756</v>
      </c>
      <c r="M97" s="142" t="s">
        <v>1757</v>
      </c>
      <c r="N97" s="142" t="s">
        <v>1758</v>
      </c>
      <c r="O97" s="142" t="s">
        <v>1759</v>
      </c>
      <c r="P97" s="142"/>
      <c r="Q97" s="142"/>
      <c r="R97" s="142" t="s">
        <v>1760</v>
      </c>
      <c r="S97" s="142" t="s">
        <v>1761</v>
      </c>
      <c r="T97" s="142" t="s">
        <v>1760</v>
      </c>
      <c r="U97" s="142" t="s">
        <v>1761</v>
      </c>
      <c r="V97" s="142"/>
      <c r="W97" s="142"/>
      <c r="X97" s="142"/>
      <c r="Y97" s="142"/>
      <c r="Z97" s="143" t="s">
        <v>1762</v>
      </c>
      <c r="AA97" s="142" t="s">
        <v>1763</v>
      </c>
      <c r="AB97" s="143"/>
      <c r="AC97" s="142"/>
      <c r="AD97" s="143"/>
      <c r="AE97" s="142"/>
      <c r="AF97" s="143"/>
      <c r="AG97" s="142"/>
      <c r="AH97" s="143" t="s">
        <v>1764</v>
      </c>
      <c r="AI97" s="142" t="s">
        <v>1765</v>
      </c>
      <c r="AJ97" s="143" t="s">
        <v>1766</v>
      </c>
      <c r="AK97" s="142" t="s">
        <v>1767</v>
      </c>
      <c r="AL97" s="143"/>
      <c r="AM97" s="142"/>
    </row>
    <row r="98" s="71" customFormat="1" spans="1:39">
      <c r="A98" s="156" t="s">
        <v>1917</v>
      </c>
      <c r="B98" s="157" t="s">
        <v>73</v>
      </c>
      <c r="C98" s="141" t="s">
        <v>1918</v>
      </c>
      <c r="D98" s="141" t="s">
        <v>1750</v>
      </c>
      <c r="E98" s="141" t="s">
        <v>1750</v>
      </c>
      <c r="F98" s="142" t="s">
        <v>1751</v>
      </c>
      <c r="G98" s="146">
        <v>420.68</v>
      </c>
      <c r="H98" s="142" t="s">
        <v>1752</v>
      </c>
      <c r="I98" s="142" t="s">
        <v>1821</v>
      </c>
      <c r="J98" s="142" t="s">
        <v>1754</v>
      </c>
      <c r="K98" s="142" t="s">
        <v>1755</v>
      </c>
      <c r="L98" s="142" t="s">
        <v>1756</v>
      </c>
      <c r="M98" s="142" t="s">
        <v>1757</v>
      </c>
      <c r="N98" s="142" t="s">
        <v>1758</v>
      </c>
      <c r="O98" s="142" t="s">
        <v>1759</v>
      </c>
      <c r="P98" s="142"/>
      <c r="Q98" s="142"/>
      <c r="R98" s="142" t="s">
        <v>1760</v>
      </c>
      <c r="S98" s="142" t="s">
        <v>1761</v>
      </c>
      <c r="T98" s="142" t="s">
        <v>1760</v>
      </c>
      <c r="U98" s="142" t="s">
        <v>1761</v>
      </c>
      <c r="V98" s="142"/>
      <c r="W98" s="142"/>
      <c r="X98" s="142"/>
      <c r="Y98" s="142"/>
      <c r="Z98" s="143" t="s">
        <v>1762</v>
      </c>
      <c r="AA98" s="142" t="s">
        <v>1763</v>
      </c>
      <c r="AB98" s="143"/>
      <c r="AC98" s="142"/>
      <c r="AD98" s="143"/>
      <c r="AE98" s="142"/>
      <c r="AF98" s="143"/>
      <c r="AG98" s="142"/>
      <c r="AH98" s="143" t="s">
        <v>1764</v>
      </c>
      <c r="AI98" s="142" t="s">
        <v>1765</v>
      </c>
      <c r="AJ98" s="143" t="s">
        <v>1766</v>
      </c>
      <c r="AK98" s="142" t="s">
        <v>1767</v>
      </c>
      <c r="AL98" s="143"/>
      <c r="AM98" s="142"/>
    </row>
    <row r="99" s="74" customFormat="1" spans="1:39">
      <c r="A99" s="158"/>
      <c r="B99" s="155" t="s">
        <v>1784</v>
      </c>
      <c r="C99" s="159"/>
      <c r="D99" s="159"/>
      <c r="E99" s="159"/>
      <c r="F99" s="149" t="s">
        <v>1919</v>
      </c>
      <c r="G99" s="149" t="s">
        <v>1920</v>
      </c>
      <c r="H99" s="149" t="s">
        <v>1921</v>
      </c>
      <c r="I99" s="160"/>
      <c r="J99" s="160"/>
      <c r="K99" s="160" t="s">
        <v>1922</v>
      </c>
      <c r="L99" s="160"/>
      <c r="M99" s="160" t="s">
        <v>1923</v>
      </c>
      <c r="N99" s="160"/>
      <c r="O99" s="160" t="s">
        <v>1924</v>
      </c>
      <c r="P99" s="160"/>
      <c r="Q99" s="160" t="s">
        <v>1791</v>
      </c>
      <c r="R99" s="160"/>
      <c r="S99" s="160" t="s">
        <v>1925</v>
      </c>
      <c r="T99" s="160"/>
      <c r="U99" s="160" t="s">
        <v>1926</v>
      </c>
      <c r="V99" s="160"/>
      <c r="W99" s="160" t="s">
        <v>1791</v>
      </c>
      <c r="X99" s="160"/>
      <c r="Y99" s="160" t="s">
        <v>1791</v>
      </c>
      <c r="Z99" s="161"/>
      <c r="AA99" s="160" t="s">
        <v>1927</v>
      </c>
      <c r="AB99" s="161"/>
      <c r="AC99" s="160" t="s">
        <v>1791</v>
      </c>
      <c r="AD99" s="161"/>
      <c r="AE99" s="160" t="s">
        <v>1791</v>
      </c>
      <c r="AF99" s="161"/>
      <c r="AG99" s="160" t="s">
        <v>1791</v>
      </c>
      <c r="AH99" s="161"/>
      <c r="AI99" s="160" t="s">
        <v>1928</v>
      </c>
      <c r="AJ99" s="161"/>
      <c r="AK99" s="160" t="s">
        <v>1929</v>
      </c>
      <c r="AL99" s="161"/>
      <c r="AM99" s="160" t="s">
        <v>1757</v>
      </c>
    </row>
    <row r="100" s="74" customFormat="1" spans="1:39">
      <c r="A100" s="159" t="s">
        <v>1797</v>
      </c>
      <c r="B100" s="159"/>
      <c r="C100" s="159"/>
      <c r="D100" s="159"/>
      <c r="E100" s="159"/>
      <c r="F100" s="160"/>
      <c r="G100" s="162"/>
      <c r="H100" s="162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</row>
    <row r="101" s="75" customFormat="1" spans="1:39">
      <c r="A101" s="159"/>
      <c r="B101" s="159" t="s">
        <v>1784</v>
      </c>
      <c r="C101" s="159"/>
      <c r="D101" s="159"/>
      <c r="E101" s="159"/>
      <c r="F101" s="149" t="s">
        <v>1791</v>
      </c>
      <c r="G101" s="149" t="s">
        <v>1791</v>
      </c>
      <c r="H101" s="149" t="s">
        <v>1791</v>
      </c>
      <c r="I101" s="160"/>
      <c r="J101" s="160"/>
      <c r="K101" s="160" t="s">
        <v>1791</v>
      </c>
      <c r="L101" s="160"/>
      <c r="M101" s="160" t="s">
        <v>1791</v>
      </c>
      <c r="N101" s="160"/>
      <c r="O101" s="160" t="s">
        <v>1791</v>
      </c>
      <c r="P101" s="160"/>
      <c r="Q101" s="160" t="s">
        <v>1791</v>
      </c>
      <c r="R101" s="160"/>
      <c r="S101" s="160" t="s">
        <v>1791</v>
      </c>
      <c r="T101" s="160"/>
      <c r="U101" s="160" t="s">
        <v>1791</v>
      </c>
      <c r="V101" s="160"/>
      <c r="W101" s="160" t="s">
        <v>1791</v>
      </c>
      <c r="X101" s="160"/>
      <c r="Y101" s="160" t="s">
        <v>1791</v>
      </c>
      <c r="Z101" s="160"/>
      <c r="AA101" s="160" t="s">
        <v>1791</v>
      </c>
      <c r="AB101" s="160"/>
      <c r="AC101" s="160" t="s">
        <v>1791</v>
      </c>
      <c r="AD101" s="160"/>
      <c r="AE101" s="160" t="s">
        <v>1791</v>
      </c>
      <c r="AF101" s="160"/>
      <c r="AG101" s="160" t="s">
        <v>1791</v>
      </c>
      <c r="AH101" s="160"/>
      <c r="AI101" s="160" t="s">
        <v>1791</v>
      </c>
      <c r="AJ101" s="160"/>
      <c r="AK101" s="160" t="s">
        <v>1791</v>
      </c>
      <c r="AL101" s="160"/>
      <c r="AM101" s="160" t="s">
        <v>1791</v>
      </c>
    </row>
    <row r="102" s="74" customFormat="1" spans="1:39">
      <c r="A102" s="159" t="s">
        <v>1798</v>
      </c>
      <c r="B102" s="159"/>
      <c r="C102" s="159"/>
      <c r="D102" s="159"/>
      <c r="E102" s="159"/>
      <c r="F102" s="160"/>
      <c r="G102" s="162"/>
      <c r="H102" s="162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</row>
    <row r="103" s="75" customFormat="1" spans="1:39">
      <c r="A103" s="159"/>
      <c r="B103" s="159" t="s">
        <v>1784</v>
      </c>
      <c r="C103" s="159"/>
      <c r="D103" s="159"/>
      <c r="E103" s="159"/>
      <c r="F103" s="149" t="s">
        <v>1791</v>
      </c>
      <c r="G103" s="149" t="s">
        <v>1791</v>
      </c>
      <c r="H103" s="149" t="s">
        <v>1791</v>
      </c>
      <c r="I103" s="160"/>
      <c r="J103" s="160"/>
      <c r="K103" s="160" t="s">
        <v>1791</v>
      </c>
      <c r="L103" s="160"/>
      <c r="M103" s="160" t="s">
        <v>1791</v>
      </c>
      <c r="N103" s="160"/>
      <c r="O103" s="160" t="s">
        <v>1791</v>
      </c>
      <c r="P103" s="160"/>
      <c r="Q103" s="160" t="s">
        <v>1791</v>
      </c>
      <c r="R103" s="160"/>
      <c r="S103" s="160" t="s">
        <v>1791</v>
      </c>
      <c r="T103" s="160"/>
      <c r="U103" s="160" t="s">
        <v>1791</v>
      </c>
      <c r="V103" s="160"/>
      <c r="W103" s="160" t="s">
        <v>1791</v>
      </c>
      <c r="X103" s="160"/>
      <c r="Y103" s="160" t="s">
        <v>1791</v>
      </c>
      <c r="Z103" s="160"/>
      <c r="AA103" s="160" t="s">
        <v>1791</v>
      </c>
      <c r="AB103" s="160"/>
      <c r="AC103" s="160" t="s">
        <v>1791</v>
      </c>
      <c r="AD103" s="160"/>
      <c r="AE103" s="160" t="s">
        <v>1791</v>
      </c>
      <c r="AF103" s="160"/>
      <c r="AG103" s="160" t="s">
        <v>1791</v>
      </c>
      <c r="AH103" s="160"/>
      <c r="AI103" s="160" t="s">
        <v>1791</v>
      </c>
      <c r="AJ103" s="160"/>
      <c r="AK103" s="160" t="s">
        <v>1791</v>
      </c>
      <c r="AL103" s="160"/>
      <c r="AM103" s="160" t="s">
        <v>1791</v>
      </c>
    </row>
    <row r="104" s="13" customFormat="1" spans="1:39">
      <c r="B104" s="13" t="s">
        <v>1930</v>
      </c>
    </row>
    <row r="108" s="70" customFormat="1" ht="28.5" spans="1:39">
      <c r="A108" s="130"/>
      <c r="B108" s="86" t="s">
        <v>1931</v>
      </c>
      <c r="C108" s="131"/>
      <c r="D108" s="130"/>
      <c r="E108" s="130"/>
      <c r="F108" s="132" t="s">
        <v>1723</v>
      </c>
      <c r="G108" s="163" t="s">
        <v>1724</v>
      </c>
      <c r="H108" s="163" t="s">
        <v>1725</v>
      </c>
      <c r="I108" s="132"/>
      <c r="J108" s="134" t="s">
        <v>1726</v>
      </c>
      <c r="K108" s="135"/>
      <c r="L108" s="134" t="s">
        <v>1727</v>
      </c>
      <c r="M108" s="135"/>
      <c r="N108" s="134" t="s">
        <v>1728</v>
      </c>
      <c r="O108" s="135"/>
      <c r="P108" s="134" t="s">
        <v>1729</v>
      </c>
      <c r="Q108" s="135"/>
      <c r="R108" s="134" t="s">
        <v>1730</v>
      </c>
      <c r="S108" s="135"/>
      <c r="T108" s="136" t="s">
        <v>1731</v>
      </c>
      <c r="U108" s="137"/>
      <c r="V108" s="136" t="s">
        <v>1732</v>
      </c>
      <c r="W108" s="137"/>
      <c r="X108" s="136" t="s">
        <v>1733</v>
      </c>
      <c r="Y108" s="137"/>
      <c r="Z108" s="136" t="s">
        <v>1734</v>
      </c>
      <c r="AA108" s="137"/>
      <c r="AB108" s="136" t="s">
        <v>1735</v>
      </c>
      <c r="AC108" s="137"/>
      <c r="AD108" s="134" t="s">
        <v>1736</v>
      </c>
      <c r="AE108" s="135"/>
      <c r="AF108" s="134" t="s">
        <v>1737</v>
      </c>
      <c r="AG108" s="135"/>
      <c r="AH108" s="134" t="s">
        <v>1738</v>
      </c>
      <c r="AI108" s="135"/>
      <c r="AJ108" s="134" t="s">
        <v>1739</v>
      </c>
      <c r="AK108" s="135"/>
      <c r="AL108" s="134" t="s">
        <v>1740</v>
      </c>
      <c r="AM108" s="135"/>
    </row>
    <row r="109" s="70" customFormat="1" spans="1:39">
      <c r="A109" s="138" t="s">
        <v>277</v>
      </c>
      <c r="B109" s="138" t="s">
        <v>1</v>
      </c>
      <c r="C109" s="23" t="s">
        <v>1741</v>
      </c>
      <c r="D109" s="138" t="s">
        <v>1742</v>
      </c>
      <c r="E109" s="138" t="s">
        <v>1743</v>
      </c>
      <c r="F109" s="132"/>
      <c r="G109" s="132"/>
      <c r="H109" s="132"/>
      <c r="I109" s="132" t="s">
        <v>1744</v>
      </c>
      <c r="J109" s="132" t="s">
        <v>1745</v>
      </c>
      <c r="K109" s="132" t="s">
        <v>1746</v>
      </c>
      <c r="L109" s="132" t="s">
        <v>1745</v>
      </c>
      <c r="M109" s="132" t="s">
        <v>1746</v>
      </c>
      <c r="N109" s="132" t="s">
        <v>1745</v>
      </c>
      <c r="O109" s="132" t="s">
        <v>1746</v>
      </c>
      <c r="P109" s="132" t="s">
        <v>1745</v>
      </c>
      <c r="Q109" s="132" t="s">
        <v>1746</v>
      </c>
      <c r="R109" s="132" t="s">
        <v>1745</v>
      </c>
      <c r="S109" s="132" t="s">
        <v>1746</v>
      </c>
      <c r="T109" s="132" t="s">
        <v>1745</v>
      </c>
      <c r="U109" s="132" t="s">
        <v>1746</v>
      </c>
      <c r="V109" s="132" t="s">
        <v>1745</v>
      </c>
      <c r="W109" s="132" t="s">
        <v>1746</v>
      </c>
      <c r="X109" s="132" t="s">
        <v>1745</v>
      </c>
      <c r="Y109" s="132" t="s">
        <v>1746</v>
      </c>
      <c r="Z109" s="136" t="s">
        <v>1745</v>
      </c>
      <c r="AA109" s="132" t="s">
        <v>1746</v>
      </c>
      <c r="AB109" s="136" t="s">
        <v>1745</v>
      </c>
      <c r="AC109" s="132" t="s">
        <v>1746</v>
      </c>
      <c r="AD109" s="136" t="s">
        <v>1745</v>
      </c>
      <c r="AE109" s="132" t="s">
        <v>1746</v>
      </c>
      <c r="AF109" s="136" t="s">
        <v>1745</v>
      </c>
      <c r="AG109" s="132" t="s">
        <v>1746</v>
      </c>
      <c r="AH109" s="136" t="s">
        <v>1745</v>
      </c>
      <c r="AI109" s="132" t="s">
        <v>1746</v>
      </c>
      <c r="AJ109" s="136" t="s">
        <v>1745</v>
      </c>
      <c r="AK109" s="132" t="s">
        <v>1746</v>
      </c>
      <c r="AL109" s="136" t="s">
        <v>1745</v>
      </c>
      <c r="AM109" s="132" t="s">
        <v>1746</v>
      </c>
    </row>
    <row r="110" s="71" customFormat="1" spans="1:39">
      <c r="A110" s="164" t="s">
        <v>1747</v>
      </c>
      <c r="B110" s="165"/>
      <c r="C110" s="141"/>
      <c r="D110" s="141"/>
      <c r="E110" s="141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3"/>
      <c r="AA110" s="142"/>
      <c r="AB110" s="143"/>
      <c r="AC110" s="142"/>
      <c r="AD110" s="143"/>
      <c r="AE110" s="142"/>
      <c r="AF110" s="143"/>
      <c r="AG110" s="142"/>
      <c r="AH110" s="143"/>
      <c r="AI110" s="142"/>
      <c r="AJ110" s="143"/>
      <c r="AK110" s="142"/>
      <c r="AL110" s="143"/>
      <c r="AM110" s="142"/>
    </row>
    <row r="111" s="71" customFormat="1" spans="1:39">
      <c r="A111" s="166" t="s">
        <v>1748</v>
      </c>
      <c r="B111" s="167" t="s">
        <v>147</v>
      </c>
      <c r="C111" s="141" t="s">
        <v>1932</v>
      </c>
      <c r="D111" s="141" t="s">
        <v>1750</v>
      </c>
      <c r="E111" s="141" t="s">
        <v>1750</v>
      </c>
      <c r="F111" s="142" t="s">
        <v>1751</v>
      </c>
      <c r="G111" s="146">
        <v>420.68</v>
      </c>
      <c r="H111" s="142" t="s">
        <v>1752</v>
      </c>
      <c r="I111" s="142" t="s">
        <v>1753</v>
      </c>
      <c r="J111" s="142" t="s">
        <v>1754</v>
      </c>
      <c r="K111" s="142" t="s">
        <v>1755</v>
      </c>
      <c r="L111" s="142" t="s">
        <v>1756</v>
      </c>
      <c r="M111" s="142" t="s">
        <v>1757</v>
      </c>
      <c r="N111" s="142" t="s">
        <v>1758</v>
      </c>
      <c r="O111" s="142" t="s">
        <v>1759</v>
      </c>
      <c r="P111" s="142"/>
      <c r="Q111" s="142"/>
      <c r="R111" s="142" t="s">
        <v>1760</v>
      </c>
      <c r="S111" s="142" t="s">
        <v>1761</v>
      </c>
      <c r="T111" s="142" t="s">
        <v>1760</v>
      </c>
      <c r="U111" s="142" t="s">
        <v>1761</v>
      </c>
      <c r="V111" s="142"/>
      <c r="W111" s="142"/>
      <c r="X111" s="142"/>
      <c r="Y111" s="142"/>
      <c r="Z111" s="143" t="s">
        <v>1762</v>
      </c>
      <c r="AA111" s="142" t="s">
        <v>1763</v>
      </c>
      <c r="AB111" s="143"/>
      <c r="AC111" s="142"/>
      <c r="AD111" s="143"/>
      <c r="AE111" s="142"/>
      <c r="AF111" s="143"/>
      <c r="AG111" s="142"/>
      <c r="AH111" s="143" t="s">
        <v>1764</v>
      </c>
      <c r="AI111" s="142" t="s">
        <v>1765</v>
      </c>
      <c r="AJ111" s="143" t="s">
        <v>1766</v>
      </c>
      <c r="AK111" s="142" t="s">
        <v>1767</v>
      </c>
      <c r="AL111" s="143"/>
      <c r="AM111" s="142"/>
    </row>
    <row r="112" s="71" customFormat="1" spans="1:39">
      <c r="A112" s="166" t="s">
        <v>1768</v>
      </c>
      <c r="B112" s="167" t="s">
        <v>56</v>
      </c>
      <c r="C112" s="141" t="s">
        <v>1933</v>
      </c>
      <c r="D112" s="141" t="s">
        <v>1750</v>
      </c>
      <c r="E112" s="141" t="s">
        <v>1750</v>
      </c>
      <c r="F112" s="142" t="s">
        <v>1751</v>
      </c>
      <c r="G112" s="146">
        <v>420.68</v>
      </c>
      <c r="H112" s="142" t="s">
        <v>1752</v>
      </c>
      <c r="I112" s="142" t="s">
        <v>1753</v>
      </c>
      <c r="J112" s="142" t="s">
        <v>1754</v>
      </c>
      <c r="K112" s="142" t="s">
        <v>1755</v>
      </c>
      <c r="L112" s="142" t="s">
        <v>1756</v>
      </c>
      <c r="M112" s="142" t="s">
        <v>1757</v>
      </c>
      <c r="N112" s="142" t="s">
        <v>1758</v>
      </c>
      <c r="O112" s="142" t="s">
        <v>1759</v>
      </c>
      <c r="P112" s="142"/>
      <c r="Q112" s="142"/>
      <c r="R112" s="142" t="s">
        <v>1760</v>
      </c>
      <c r="S112" s="142" t="s">
        <v>1761</v>
      </c>
      <c r="T112" s="142" t="s">
        <v>1760</v>
      </c>
      <c r="U112" s="142" t="s">
        <v>1761</v>
      </c>
      <c r="V112" s="142"/>
      <c r="W112" s="142"/>
      <c r="X112" s="142"/>
      <c r="Y112" s="142"/>
      <c r="Z112" s="143" t="s">
        <v>1762</v>
      </c>
      <c r="AA112" s="142" t="s">
        <v>1763</v>
      </c>
      <c r="AB112" s="143"/>
      <c r="AC112" s="142"/>
      <c r="AD112" s="143"/>
      <c r="AE112" s="142"/>
      <c r="AF112" s="143"/>
      <c r="AG112" s="142"/>
      <c r="AH112" s="143" t="s">
        <v>1764</v>
      </c>
      <c r="AI112" s="142" t="s">
        <v>1765</v>
      </c>
      <c r="AJ112" s="143" t="s">
        <v>1766</v>
      </c>
      <c r="AK112" s="142" t="s">
        <v>1767</v>
      </c>
      <c r="AL112" s="143"/>
      <c r="AM112" s="142"/>
    </row>
    <row r="113" s="71" customFormat="1" spans="1:39">
      <c r="A113" s="166" t="s">
        <v>1819</v>
      </c>
      <c r="B113" s="167" t="s">
        <v>63</v>
      </c>
      <c r="C113" s="141" t="s">
        <v>1934</v>
      </c>
      <c r="D113" s="141" t="s">
        <v>1750</v>
      </c>
      <c r="E113" s="141" t="s">
        <v>1750</v>
      </c>
      <c r="F113" s="142" t="s">
        <v>1856</v>
      </c>
      <c r="G113" s="146">
        <v>521.58</v>
      </c>
      <c r="H113" s="142" t="s">
        <v>1857</v>
      </c>
      <c r="I113" s="142" t="s">
        <v>1753</v>
      </c>
      <c r="J113" s="142" t="s">
        <v>1754</v>
      </c>
      <c r="K113" s="142" t="s">
        <v>1755</v>
      </c>
      <c r="L113" s="142" t="s">
        <v>1756</v>
      </c>
      <c r="M113" s="142" t="s">
        <v>1757</v>
      </c>
      <c r="N113" s="142" t="s">
        <v>1775</v>
      </c>
      <c r="O113" s="142" t="s">
        <v>1776</v>
      </c>
      <c r="P113" s="142"/>
      <c r="Q113" s="142"/>
      <c r="R113" s="142" t="s">
        <v>1777</v>
      </c>
      <c r="S113" s="142" t="s">
        <v>1778</v>
      </c>
      <c r="T113" s="142" t="s">
        <v>1760</v>
      </c>
      <c r="U113" s="142" t="s">
        <v>1761</v>
      </c>
      <c r="V113" s="142"/>
      <c r="W113" s="142"/>
      <c r="X113" s="142"/>
      <c r="Y113" s="142"/>
      <c r="Z113" s="143" t="s">
        <v>1762</v>
      </c>
      <c r="AA113" s="142" t="s">
        <v>1763</v>
      </c>
      <c r="AB113" s="143"/>
      <c r="AC113" s="142"/>
      <c r="AD113" s="143"/>
      <c r="AE113" s="142"/>
      <c r="AF113" s="143"/>
      <c r="AG113" s="142"/>
      <c r="AH113" s="143" t="s">
        <v>1764</v>
      </c>
      <c r="AI113" s="142" t="s">
        <v>1765</v>
      </c>
      <c r="AJ113" s="143" t="s">
        <v>1766</v>
      </c>
      <c r="AK113" s="142" t="s">
        <v>1767</v>
      </c>
      <c r="AL113" s="143" t="s">
        <v>1782</v>
      </c>
      <c r="AM113" s="142" t="s">
        <v>1808</v>
      </c>
    </row>
    <row r="114" s="71" customFormat="1" spans="1:39">
      <c r="A114" s="166" t="s">
        <v>1822</v>
      </c>
      <c r="B114" s="167" t="s">
        <v>149</v>
      </c>
      <c r="C114" s="141" t="s">
        <v>1935</v>
      </c>
      <c r="D114" s="141" t="s">
        <v>1750</v>
      </c>
      <c r="E114" s="141" t="s">
        <v>1750</v>
      </c>
      <c r="F114" s="142" t="s">
        <v>1751</v>
      </c>
      <c r="G114" s="146">
        <v>420.68</v>
      </c>
      <c r="H114" s="142" t="s">
        <v>1752</v>
      </c>
      <c r="I114" s="142" t="s">
        <v>1753</v>
      </c>
      <c r="J114" s="142" t="s">
        <v>1754</v>
      </c>
      <c r="K114" s="142" t="s">
        <v>1755</v>
      </c>
      <c r="L114" s="142" t="s">
        <v>1756</v>
      </c>
      <c r="M114" s="142" t="s">
        <v>1757</v>
      </c>
      <c r="N114" s="142" t="s">
        <v>1758</v>
      </c>
      <c r="O114" s="142" t="s">
        <v>1759</v>
      </c>
      <c r="P114" s="142"/>
      <c r="Q114" s="142"/>
      <c r="R114" s="142" t="s">
        <v>1760</v>
      </c>
      <c r="S114" s="142" t="s">
        <v>1761</v>
      </c>
      <c r="T114" s="142" t="s">
        <v>1760</v>
      </c>
      <c r="U114" s="142" t="s">
        <v>1761</v>
      </c>
      <c r="V114" s="142"/>
      <c r="W114" s="142"/>
      <c r="X114" s="142"/>
      <c r="Y114" s="142"/>
      <c r="Z114" s="143" t="s">
        <v>1762</v>
      </c>
      <c r="AA114" s="142" t="s">
        <v>1763</v>
      </c>
      <c r="AB114" s="143"/>
      <c r="AC114" s="142"/>
      <c r="AD114" s="143"/>
      <c r="AE114" s="142"/>
      <c r="AF114" s="143"/>
      <c r="AG114" s="142"/>
      <c r="AH114" s="143" t="s">
        <v>1764</v>
      </c>
      <c r="AI114" s="142" t="s">
        <v>1765</v>
      </c>
      <c r="AJ114" s="143" t="s">
        <v>1766</v>
      </c>
      <c r="AK114" s="142" t="s">
        <v>1767</v>
      </c>
      <c r="AL114" s="143"/>
      <c r="AM114" s="142"/>
    </row>
    <row r="115" s="71" customFormat="1" spans="1:39">
      <c r="A115" s="166" t="s">
        <v>1824</v>
      </c>
      <c r="B115" s="167" t="s">
        <v>87</v>
      </c>
      <c r="C115" s="141" t="s">
        <v>1936</v>
      </c>
      <c r="D115" s="141" t="s">
        <v>1750</v>
      </c>
      <c r="E115" s="141" t="s">
        <v>1750</v>
      </c>
      <c r="F115" s="142" t="s">
        <v>1751</v>
      </c>
      <c r="G115" s="146">
        <v>420.68</v>
      </c>
      <c r="H115" s="142" t="s">
        <v>1752</v>
      </c>
      <c r="I115" s="142" t="s">
        <v>1753</v>
      </c>
      <c r="J115" s="142" t="s">
        <v>1754</v>
      </c>
      <c r="K115" s="142" t="s">
        <v>1755</v>
      </c>
      <c r="L115" s="142" t="s">
        <v>1756</v>
      </c>
      <c r="M115" s="142" t="s">
        <v>1757</v>
      </c>
      <c r="N115" s="142" t="s">
        <v>1758</v>
      </c>
      <c r="O115" s="142" t="s">
        <v>1759</v>
      </c>
      <c r="P115" s="142"/>
      <c r="Q115" s="142"/>
      <c r="R115" s="142" t="s">
        <v>1760</v>
      </c>
      <c r="S115" s="142" t="s">
        <v>1761</v>
      </c>
      <c r="T115" s="142" t="s">
        <v>1760</v>
      </c>
      <c r="U115" s="142" t="s">
        <v>1761</v>
      </c>
      <c r="V115" s="142"/>
      <c r="W115" s="142"/>
      <c r="X115" s="142"/>
      <c r="Y115" s="142"/>
      <c r="Z115" s="143" t="s">
        <v>1762</v>
      </c>
      <c r="AA115" s="142" t="s">
        <v>1763</v>
      </c>
      <c r="AB115" s="143"/>
      <c r="AC115" s="142"/>
      <c r="AD115" s="143"/>
      <c r="AE115" s="142"/>
      <c r="AF115" s="143"/>
      <c r="AG115" s="142"/>
      <c r="AH115" s="143" t="s">
        <v>1764</v>
      </c>
      <c r="AI115" s="142" t="s">
        <v>1765</v>
      </c>
      <c r="AJ115" s="143" t="s">
        <v>1766</v>
      </c>
      <c r="AK115" s="142" t="s">
        <v>1767</v>
      </c>
      <c r="AL115" s="143"/>
      <c r="AM115" s="142"/>
    </row>
    <row r="116" s="71" customFormat="1" spans="1:39">
      <c r="A116" s="166" t="s">
        <v>1826</v>
      </c>
      <c r="B116" s="167" t="s">
        <v>143</v>
      </c>
      <c r="C116" s="141" t="s">
        <v>1937</v>
      </c>
      <c r="D116" s="141" t="s">
        <v>1750</v>
      </c>
      <c r="E116" s="141" t="s">
        <v>1750</v>
      </c>
      <c r="F116" s="142" t="s">
        <v>1751</v>
      </c>
      <c r="G116" s="146">
        <v>420.68</v>
      </c>
      <c r="H116" s="142" t="s">
        <v>1752</v>
      </c>
      <c r="I116" s="142" t="s">
        <v>1753</v>
      </c>
      <c r="J116" s="142" t="s">
        <v>1754</v>
      </c>
      <c r="K116" s="142" t="s">
        <v>1755</v>
      </c>
      <c r="L116" s="142" t="s">
        <v>1756</v>
      </c>
      <c r="M116" s="142" t="s">
        <v>1757</v>
      </c>
      <c r="N116" s="142" t="s">
        <v>1758</v>
      </c>
      <c r="O116" s="142" t="s">
        <v>1759</v>
      </c>
      <c r="P116" s="142"/>
      <c r="Q116" s="142"/>
      <c r="R116" s="142" t="s">
        <v>1760</v>
      </c>
      <c r="S116" s="142" t="s">
        <v>1761</v>
      </c>
      <c r="T116" s="142" t="s">
        <v>1760</v>
      </c>
      <c r="U116" s="142" t="s">
        <v>1761</v>
      </c>
      <c r="V116" s="142"/>
      <c r="W116" s="142"/>
      <c r="X116" s="142"/>
      <c r="Y116" s="142"/>
      <c r="Z116" s="143" t="s">
        <v>1762</v>
      </c>
      <c r="AA116" s="142" t="s">
        <v>1763</v>
      </c>
      <c r="AB116" s="143"/>
      <c r="AC116" s="142"/>
      <c r="AD116" s="143"/>
      <c r="AE116" s="142"/>
      <c r="AF116" s="143"/>
      <c r="AG116" s="142"/>
      <c r="AH116" s="143" t="s">
        <v>1764</v>
      </c>
      <c r="AI116" s="142" t="s">
        <v>1765</v>
      </c>
      <c r="AJ116" s="143" t="s">
        <v>1766</v>
      </c>
      <c r="AK116" s="142" t="s">
        <v>1767</v>
      </c>
      <c r="AL116" s="143"/>
      <c r="AM116" s="142"/>
    </row>
    <row r="117" s="71" customFormat="1" spans="1:39">
      <c r="A117" s="166" t="s">
        <v>1828</v>
      </c>
      <c r="B117" s="167" t="s">
        <v>118</v>
      </c>
      <c r="C117" s="141" t="s">
        <v>1938</v>
      </c>
      <c r="D117" s="141" t="s">
        <v>1750</v>
      </c>
      <c r="E117" s="141" t="s">
        <v>1750</v>
      </c>
      <c r="F117" s="142" t="s">
        <v>1856</v>
      </c>
      <c r="G117" s="146">
        <v>521.58</v>
      </c>
      <c r="H117" s="142" t="s">
        <v>1857</v>
      </c>
      <c r="I117" s="142" t="s">
        <v>1753</v>
      </c>
      <c r="J117" s="142" t="s">
        <v>1754</v>
      </c>
      <c r="K117" s="142" t="s">
        <v>1755</v>
      </c>
      <c r="L117" s="142" t="s">
        <v>1756</v>
      </c>
      <c r="M117" s="142" t="s">
        <v>1757</v>
      </c>
      <c r="N117" s="142" t="s">
        <v>1775</v>
      </c>
      <c r="O117" s="142" t="s">
        <v>1776</v>
      </c>
      <c r="P117" s="142"/>
      <c r="Q117" s="142"/>
      <c r="R117" s="142" t="s">
        <v>1777</v>
      </c>
      <c r="S117" s="142" t="s">
        <v>1778</v>
      </c>
      <c r="T117" s="142" t="s">
        <v>1760</v>
      </c>
      <c r="U117" s="142" t="s">
        <v>1761</v>
      </c>
      <c r="V117" s="142"/>
      <c r="W117" s="142"/>
      <c r="X117" s="142"/>
      <c r="Y117" s="142"/>
      <c r="Z117" s="143" t="s">
        <v>1762</v>
      </c>
      <c r="AA117" s="142" t="s">
        <v>1763</v>
      </c>
      <c r="AB117" s="143"/>
      <c r="AC117" s="142"/>
      <c r="AD117" s="143"/>
      <c r="AE117" s="142"/>
      <c r="AF117" s="143"/>
      <c r="AG117" s="142"/>
      <c r="AH117" s="143" t="s">
        <v>1764</v>
      </c>
      <c r="AI117" s="142" t="s">
        <v>1765</v>
      </c>
      <c r="AJ117" s="143" t="s">
        <v>1766</v>
      </c>
      <c r="AK117" s="142" t="s">
        <v>1767</v>
      </c>
      <c r="AL117" s="143" t="s">
        <v>1782</v>
      </c>
      <c r="AM117" s="142" t="s">
        <v>1808</v>
      </c>
    </row>
    <row r="118" s="71" customFormat="1" spans="1:39">
      <c r="A118" s="166" t="s">
        <v>1830</v>
      </c>
      <c r="B118" s="167" t="s">
        <v>156</v>
      </c>
      <c r="C118" s="141" t="s">
        <v>1939</v>
      </c>
      <c r="D118" s="141" t="s">
        <v>1750</v>
      </c>
      <c r="E118" s="141" t="s">
        <v>1750</v>
      </c>
      <c r="F118" s="142" t="s">
        <v>1751</v>
      </c>
      <c r="G118" s="146">
        <v>420.68</v>
      </c>
      <c r="H118" s="142" t="s">
        <v>1752</v>
      </c>
      <c r="I118" s="142" t="s">
        <v>1753</v>
      </c>
      <c r="J118" s="142" t="s">
        <v>1754</v>
      </c>
      <c r="K118" s="142" t="s">
        <v>1755</v>
      </c>
      <c r="L118" s="142" t="s">
        <v>1756</v>
      </c>
      <c r="M118" s="142" t="s">
        <v>1757</v>
      </c>
      <c r="N118" s="142" t="s">
        <v>1758</v>
      </c>
      <c r="O118" s="142" t="s">
        <v>1759</v>
      </c>
      <c r="P118" s="142"/>
      <c r="Q118" s="142"/>
      <c r="R118" s="142" t="s">
        <v>1760</v>
      </c>
      <c r="S118" s="142" t="s">
        <v>1761</v>
      </c>
      <c r="T118" s="142" t="s">
        <v>1760</v>
      </c>
      <c r="U118" s="142" t="s">
        <v>1761</v>
      </c>
      <c r="V118" s="142"/>
      <c r="W118" s="142"/>
      <c r="X118" s="142"/>
      <c r="Y118" s="142"/>
      <c r="Z118" s="143" t="s">
        <v>1762</v>
      </c>
      <c r="AA118" s="142" t="s">
        <v>1763</v>
      </c>
      <c r="AB118" s="143"/>
      <c r="AC118" s="142"/>
      <c r="AD118" s="143"/>
      <c r="AE118" s="142"/>
      <c r="AF118" s="143"/>
      <c r="AG118" s="142"/>
      <c r="AH118" s="143" t="s">
        <v>1764</v>
      </c>
      <c r="AI118" s="142" t="s">
        <v>1765</v>
      </c>
      <c r="AJ118" s="143" t="s">
        <v>1766</v>
      </c>
      <c r="AK118" s="142" t="s">
        <v>1767</v>
      </c>
      <c r="AL118" s="143"/>
      <c r="AM118" s="142"/>
    </row>
    <row r="119" s="71" customFormat="1" spans="1:39">
      <c r="A119" s="166" t="s">
        <v>1832</v>
      </c>
      <c r="B119" s="167" t="s">
        <v>32</v>
      </c>
      <c r="C119" s="141" t="s">
        <v>1940</v>
      </c>
      <c r="D119" s="141" t="s">
        <v>1750</v>
      </c>
      <c r="E119" s="141" t="s">
        <v>1750</v>
      </c>
      <c r="F119" s="142" t="s">
        <v>1856</v>
      </c>
      <c r="G119" s="146">
        <v>521.58</v>
      </c>
      <c r="H119" s="142" t="s">
        <v>1857</v>
      </c>
      <c r="I119" s="142" t="s">
        <v>1821</v>
      </c>
      <c r="J119" s="142" t="s">
        <v>1754</v>
      </c>
      <c r="K119" s="142" t="s">
        <v>1755</v>
      </c>
      <c r="L119" s="142" t="s">
        <v>1756</v>
      </c>
      <c r="M119" s="142" t="s">
        <v>1757</v>
      </c>
      <c r="N119" s="142" t="s">
        <v>1775</v>
      </c>
      <c r="O119" s="142" t="s">
        <v>1776</v>
      </c>
      <c r="P119" s="142"/>
      <c r="Q119" s="142"/>
      <c r="R119" s="142" t="s">
        <v>1777</v>
      </c>
      <c r="S119" s="142" t="s">
        <v>1778</v>
      </c>
      <c r="T119" s="142" t="s">
        <v>1760</v>
      </c>
      <c r="U119" s="142" t="s">
        <v>1761</v>
      </c>
      <c r="V119" s="142"/>
      <c r="W119" s="142"/>
      <c r="X119" s="142"/>
      <c r="Y119" s="142"/>
      <c r="Z119" s="143" t="s">
        <v>1762</v>
      </c>
      <c r="AA119" s="142" t="s">
        <v>1763</v>
      </c>
      <c r="AB119" s="143"/>
      <c r="AC119" s="142"/>
      <c r="AD119" s="143"/>
      <c r="AE119" s="142"/>
      <c r="AF119" s="143"/>
      <c r="AG119" s="142"/>
      <c r="AH119" s="143" t="s">
        <v>1764</v>
      </c>
      <c r="AI119" s="142" t="s">
        <v>1765</v>
      </c>
      <c r="AJ119" s="143" t="s">
        <v>1766</v>
      </c>
      <c r="AK119" s="142" t="s">
        <v>1767</v>
      </c>
      <c r="AL119" s="143" t="s">
        <v>1782</v>
      </c>
      <c r="AM119" s="142" t="s">
        <v>1808</v>
      </c>
    </row>
    <row r="120" s="71" customFormat="1" spans="1:39">
      <c r="A120" s="166" t="s">
        <v>1836</v>
      </c>
      <c r="B120" s="167" t="s">
        <v>250</v>
      </c>
      <c r="C120" s="141" t="s">
        <v>1941</v>
      </c>
      <c r="D120" s="141" t="s">
        <v>1750</v>
      </c>
      <c r="E120" s="141" t="s">
        <v>1750</v>
      </c>
      <c r="F120" s="142" t="s">
        <v>1770</v>
      </c>
      <c r="G120" s="146">
        <v>626.54</v>
      </c>
      <c r="H120" s="142" t="s">
        <v>1771</v>
      </c>
      <c r="I120" s="142" t="s">
        <v>1772</v>
      </c>
      <c r="J120" s="142" t="s">
        <v>1754</v>
      </c>
      <c r="K120" s="142" t="s">
        <v>1773</v>
      </c>
      <c r="L120" s="142" t="s">
        <v>1756</v>
      </c>
      <c r="M120" s="142" t="s">
        <v>1774</v>
      </c>
      <c r="N120" s="142" t="s">
        <v>1775</v>
      </c>
      <c r="O120" s="142" t="s">
        <v>1776</v>
      </c>
      <c r="P120" s="142"/>
      <c r="Q120" s="142"/>
      <c r="R120" s="142" t="s">
        <v>1777</v>
      </c>
      <c r="S120" s="142" t="s">
        <v>1778</v>
      </c>
      <c r="T120" s="142" t="s">
        <v>1760</v>
      </c>
      <c r="U120" s="142" t="s">
        <v>1761</v>
      </c>
      <c r="V120" s="142"/>
      <c r="W120" s="142"/>
      <c r="X120" s="142"/>
      <c r="Y120" s="142"/>
      <c r="Z120" s="143" t="s">
        <v>1762</v>
      </c>
      <c r="AA120" s="142" t="s">
        <v>1779</v>
      </c>
      <c r="AB120" s="143"/>
      <c r="AC120" s="142"/>
      <c r="AD120" s="143"/>
      <c r="AE120" s="142"/>
      <c r="AF120" s="143"/>
      <c r="AG120" s="142"/>
      <c r="AH120" s="143" t="s">
        <v>1764</v>
      </c>
      <c r="AI120" s="142" t="s">
        <v>1780</v>
      </c>
      <c r="AJ120" s="143" t="s">
        <v>1766</v>
      </c>
      <c r="AK120" s="142" t="s">
        <v>1781</v>
      </c>
      <c r="AL120" s="143" t="s">
        <v>1782</v>
      </c>
      <c r="AM120" s="142" t="s">
        <v>1783</v>
      </c>
    </row>
    <row r="121" s="71" customFormat="1" spans="1:39">
      <c r="A121" s="166" t="s">
        <v>1838</v>
      </c>
      <c r="B121" s="167" t="s">
        <v>158</v>
      </c>
      <c r="C121" s="141" t="s">
        <v>1942</v>
      </c>
      <c r="D121" s="141" t="s">
        <v>1750</v>
      </c>
      <c r="E121" s="141" t="s">
        <v>1750</v>
      </c>
      <c r="F121" s="142" t="s">
        <v>1751</v>
      </c>
      <c r="G121" s="146">
        <v>420.68</v>
      </c>
      <c r="H121" s="142" t="s">
        <v>1752</v>
      </c>
      <c r="I121" s="142" t="s">
        <v>1753</v>
      </c>
      <c r="J121" s="142" t="s">
        <v>1754</v>
      </c>
      <c r="K121" s="142" t="s">
        <v>1755</v>
      </c>
      <c r="L121" s="142" t="s">
        <v>1756</v>
      </c>
      <c r="M121" s="142" t="s">
        <v>1757</v>
      </c>
      <c r="N121" s="142" t="s">
        <v>1758</v>
      </c>
      <c r="O121" s="142" t="s">
        <v>1759</v>
      </c>
      <c r="P121" s="142"/>
      <c r="Q121" s="142"/>
      <c r="R121" s="142" t="s">
        <v>1760</v>
      </c>
      <c r="S121" s="142" t="s">
        <v>1761</v>
      </c>
      <c r="T121" s="142" t="s">
        <v>1760</v>
      </c>
      <c r="U121" s="142" t="s">
        <v>1761</v>
      </c>
      <c r="V121" s="142"/>
      <c r="W121" s="142"/>
      <c r="X121" s="142"/>
      <c r="Y121" s="142"/>
      <c r="Z121" s="143" t="s">
        <v>1762</v>
      </c>
      <c r="AA121" s="142" t="s">
        <v>1763</v>
      </c>
      <c r="AB121" s="143"/>
      <c r="AC121" s="142"/>
      <c r="AD121" s="143"/>
      <c r="AE121" s="142"/>
      <c r="AF121" s="143"/>
      <c r="AG121" s="142"/>
      <c r="AH121" s="143" t="s">
        <v>1764</v>
      </c>
      <c r="AI121" s="142" t="s">
        <v>1765</v>
      </c>
      <c r="AJ121" s="143" t="s">
        <v>1766</v>
      </c>
      <c r="AK121" s="142" t="s">
        <v>1767</v>
      </c>
      <c r="AL121" s="143"/>
      <c r="AM121" s="142"/>
    </row>
    <row r="122" s="71" customFormat="1" spans="1:39">
      <c r="A122" s="166" t="s">
        <v>1890</v>
      </c>
      <c r="B122" s="167" t="s">
        <v>160</v>
      </c>
      <c r="C122" s="141" t="s">
        <v>1943</v>
      </c>
      <c r="D122" s="141" t="s">
        <v>1750</v>
      </c>
      <c r="E122" s="141" t="s">
        <v>1750</v>
      </c>
      <c r="F122" s="142" t="s">
        <v>1751</v>
      </c>
      <c r="G122" s="146">
        <v>420.68</v>
      </c>
      <c r="H122" s="142" t="s">
        <v>1752</v>
      </c>
      <c r="I122" s="142" t="s">
        <v>1753</v>
      </c>
      <c r="J122" s="142" t="s">
        <v>1754</v>
      </c>
      <c r="K122" s="142" t="s">
        <v>1755</v>
      </c>
      <c r="L122" s="142" t="s">
        <v>1756</v>
      </c>
      <c r="M122" s="142" t="s">
        <v>1757</v>
      </c>
      <c r="N122" s="142" t="s">
        <v>1758</v>
      </c>
      <c r="O122" s="142" t="s">
        <v>1759</v>
      </c>
      <c r="P122" s="142"/>
      <c r="Q122" s="142"/>
      <c r="R122" s="142" t="s">
        <v>1760</v>
      </c>
      <c r="S122" s="142" t="s">
        <v>1761</v>
      </c>
      <c r="T122" s="142" t="s">
        <v>1760</v>
      </c>
      <c r="U122" s="142" t="s">
        <v>1761</v>
      </c>
      <c r="V122" s="142"/>
      <c r="W122" s="142"/>
      <c r="X122" s="142"/>
      <c r="Y122" s="142"/>
      <c r="Z122" s="143" t="s">
        <v>1762</v>
      </c>
      <c r="AA122" s="142" t="s">
        <v>1763</v>
      </c>
      <c r="AB122" s="143"/>
      <c r="AC122" s="142"/>
      <c r="AD122" s="143"/>
      <c r="AE122" s="142"/>
      <c r="AF122" s="143"/>
      <c r="AG122" s="142"/>
      <c r="AH122" s="143" t="s">
        <v>1764</v>
      </c>
      <c r="AI122" s="142" t="s">
        <v>1765</v>
      </c>
      <c r="AJ122" s="143" t="s">
        <v>1766</v>
      </c>
      <c r="AK122" s="142" t="s">
        <v>1767</v>
      </c>
      <c r="AL122" s="143"/>
      <c r="AM122" s="142"/>
    </row>
    <row r="123" s="71" customFormat="1" spans="1:39">
      <c r="A123" s="166" t="s">
        <v>1892</v>
      </c>
      <c r="B123" s="167" t="s">
        <v>264</v>
      </c>
      <c r="C123" s="141" t="s">
        <v>1944</v>
      </c>
      <c r="D123" s="141" t="s">
        <v>1750</v>
      </c>
      <c r="E123" s="141" t="s">
        <v>1750</v>
      </c>
      <c r="F123" s="142" t="s">
        <v>1751</v>
      </c>
      <c r="G123" s="146">
        <v>420.68</v>
      </c>
      <c r="H123" s="142" t="s">
        <v>1752</v>
      </c>
      <c r="I123" s="142" t="s">
        <v>1753</v>
      </c>
      <c r="J123" s="142" t="s">
        <v>1754</v>
      </c>
      <c r="K123" s="142" t="s">
        <v>1755</v>
      </c>
      <c r="L123" s="142" t="s">
        <v>1756</v>
      </c>
      <c r="M123" s="142" t="s">
        <v>1757</v>
      </c>
      <c r="N123" s="142" t="s">
        <v>1758</v>
      </c>
      <c r="O123" s="142" t="s">
        <v>1759</v>
      </c>
      <c r="P123" s="142"/>
      <c r="Q123" s="142"/>
      <c r="R123" s="142" t="s">
        <v>1760</v>
      </c>
      <c r="S123" s="142" t="s">
        <v>1761</v>
      </c>
      <c r="T123" s="142" t="s">
        <v>1760</v>
      </c>
      <c r="U123" s="142" t="s">
        <v>1761</v>
      </c>
      <c r="V123" s="142"/>
      <c r="W123" s="142"/>
      <c r="X123" s="142"/>
      <c r="Y123" s="142"/>
      <c r="Z123" s="143" t="s">
        <v>1762</v>
      </c>
      <c r="AA123" s="142" t="s">
        <v>1763</v>
      </c>
      <c r="AB123" s="143"/>
      <c r="AC123" s="142"/>
      <c r="AD123" s="143"/>
      <c r="AE123" s="142"/>
      <c r="AF123" s="143"/>
      <c r="AG123" s="142"/>
      <c r="AH123" s="143" t="s">
        <v>1764</v>
      </c>
      <c r="AI123" s="142" t="s">
        <v>1765</v>
      </c>
      <c r="AJ123" s="143" t="s">
        <v>1766</v>
      </c>
      <c r="AK123" s="142" t="s">
        <v>1767</v>
      </c>
      <c r="AL123" s="143"/>
      <c r="AM123" s="142"/>
    </row>
    <row r="124" s="71" customFormat="1" spans="1:39">
      <c r="A124" s="166" t="s">
        <v>1894</v>
      </c>
      <c r="B124" s="167" t="s">
        <v>121</v>
      </c>
      <c r="C124" s="141" t="s">
        <v>1945</v>
      </c>
      <c r="D124" s="141" t="s">
        <v>1750</v>
      </c>
      <c r="E124" s="141" t="s">
        <v>1750</v>
      </c>
      <c r="F124" s="142" t="s">
        <v>1751</v>
      </c>
      <c r="G124" s="146">
        <v>420.68</v>
      </c>
      <c r="H124" s="142" t="s">
        <v>1752</v>
      </c>
      <c r="I124" s="142" t="s">
        <v>1753</v>
      </c>
      <c r="J124" s="142" t="s">
        <v>1754</v>
      </c>
      <c r="K124" s="142" t="s">
        <v>1755</v>
      </c>
      <c r="L124" s="142" t="s">
        <v>1756</v>
      </c>
      <c r="M124" s="142" t="s">
        <v>1757</v>
      </c>
      <c r="N124" s="142" t="s">
        <v>1758</v>
      </c>
      <c r="O124" s="142" t="s">
        <v>1759</v>
      </c>
      <c r="P124" s="142"/>
      <c r="Q124" s="142"/>
      <c r="R124" s="142" t="s">
        <v>1760</v>
      </c>
      <c r="S124" s="142" t="s">
        <v>1761</v>
      </c>
      <c r="T124" s="142" t="s">
        <v>1760</v>
      </c>
      <c r="U124" s="142" t="s">
        <v>1761</v>
      </c>
      <c r="V124" s="142"/>
      <c r="W124" s="142"/>
      <c r="X124" s="142"/>
      <c r="Y124" s="142"/>
      <c r="Z124" s="143" t="s">
        <v>1762</v>
      </c>
      <c r="AA124" s="142" t="s">
        <v>1763</v>
      </c>
      <c r="AB124" s="143"/>
      <c r="AC124" s="142"/>
      <c r="AD124" s="143"/>
      <c r="AE124" s="142"/>
      <c r="AF124" s="143"/>
      <c r="AG124" s="142"/>
      <c r="AH124" s="143" t="s">
        <v>1764</v>
      </c>
      <c r="AI124" s="142" t="s">
        <v>1765</v>
      </c>
      <c r="AJ124" s="143" t="s">
        <v>1766</v>
      </c>
      <c r="AK124" s="142" t="s">
        <v>1767</v>
      </c>
      <c r="AL124" s="143"/>
      <c r="AM124" s="142"/>
    </row>
    <row r="125" s="71" customFormat="1" spans="1:39">
      <c r="A125" s="166" t="s">
        <v>1896</v>
      </c>
      <c r="B125" s="167" t="s">
        <v>30</v>
      </c>
      <c r="C125" s="141" t="s">
        <v>1946</v>
      </c>
      <c r="D125" s="141" t="s">
        <v>1750</v>
      </c>
      <c r="E125" s="141" t="s">
        <v>1750</v>
      </c>
      <c r="F125" s="142" t="s">
        <v>1751</v>
      </c>
      <c r="G125" s="146">
        <v>420.68</v>
      </c>
      <c r="H125" s="142" t="s">
        <v>1752</v>
      </c>
      <c r="I125" s="142" t="s">
        <v>1753</v>
      </c>
      <c r="J125" s="142" t="s">
        <v>1754</v>
      </c>
      <c r="K125" s="142" t="s">
        <v>1755</v>
      </c>
      <c r="L125" s="142" t="s">
        <v>1756</v>
      </c>
      <c r="M125" s="142" t="s">
        <v>1757</v>
      </c>
      <c r="N125" s="142" t="s">
        <v>1758</v>
      </c>
      <c r="O125" s="142" t="s">
        <v>1759</v>
      </c>
      <c r="P125" s="142"/>
      <c r="Q125" s="142"/>
      <c r="R125" s="142" t="s">
        <v>1760</v>
      </c>
      <c r="S125" s="142" t="s">
        <v>1761</v>
      </c>
      <c r="T125" s="142" t="s">
        <v>1760</v>
      </c>
      <c r="U125" s="142" t="s">
        <v>1761</v>
      </c>
      <c r="V125" s="142"/>
      <c r="W125" s="142"/>
      <c r="X125" s="142"/>
      <c r="Y125" s="142"/>
      <c r="Z125" s="143" t="s">
        <v>1762</v>
      </c>
      <c r="AA125" s="142" t="s">
        <v>1763</v>
      </c>
      <c r="AB125" s="143"/>
      <c r="AC125" s="142"/>
      <c r="AD125" s="143"/>
      <c r="AE125" s="142"/>
      <c r="AF125" s="143"/>
      <c r="AG125" s="142"/>
      <c r="AH125" s="143" t="s">
        <v>1764</v>
      </c>
      <c r="AI125" s="142" t="s">
        <v>1765</v>
      </c>
      <c r="AJ125" s="143" t="s">
        <v>1766</v>
      </c>
      <c r="AK125" s="142" t="s">
        <v>1767</v>
      </c>
      <c r="AL125" s="143"/>
      <c r="AM125" s="142"/>
    </row>
    <row r="126" s="71" customFormat="1" spans="1:39">
      <c r="A126" s="166" t="s">
        <v>1898</v>
      </c>
      <c r="B126" s="167" t="s">
        <v>50</v>
      </c>
      <c r="C126" s="141" t="s">
        <v>1947</v>
      </c>
      <c r="D126" s="141" t="s">
        <v>1750</v>
      </c>
      <c r="E126" s="141" t="s">
        <v>1750</v>
      </c>
      <c r="F126" s="142" t="s">
        <v>1751</v>
      </c>
      <c r="G126" s="146">
        <v>420.68</v>
      </c>
      <c r="H126" s="142" t="s">
        <v>1752</v>
      </c>
      <c r="I126" s="142" t="s">
        <v>1753</v>
      </c>
      <c r="J126" s="142" t="s">
        <v>1754</v>
      </c>
      <c r="K126" s="142" t="s">
        <v>1755</v>
      </c>
      <c r="L126" s="142" t="s">
        <v>1756</v>
      </c>
      <c r="M126" s="142" t="s">
        <v>1757</v>
      </c>
      <c r="N126" s="142" t="s">
        <v>1758</v>
      </c>
      <c r="O126" s="142" t="s">
        <v>1759</v>
      </c>
      <c r="P126" s="142"/>
      <c r="Q126" s="142"/>
      <c r="R126" s="142" t="s">
        <v>1760</v>
      </c>
      <c r="S126" s="142" t="s">
        <v>1761</v>
      </c>
      <c r="T126" s="142" t="s">
        <v>1760</v>
      </c>
      <c r="U126" s="142" t="s">
        <v>1761</v>
      </c>
      <c r="V126" s="142"/>
      <c r="W126" s="142"/>
      <c r="X126" s="142"/>
      <c r="Y126" s="142"/>
      <c r="Z126" s="143" t="s">
        <v>1762</v>
      </c>
      <c r="AA126" s="142" t="s">
        <v>1763</v>
      </c>
      <c r="AB126" s="143"/>
      <c r="AC126" s="142"/>
      <c r="AD126" s="143"/>
      <c r="AE126" s="142"/>
      <c r="AF126" s="143"/>
      <c r="AG126" s="142"/>
      <c r="AH126" s="143" t="s">
        <v>1764</v>
      </c>
      <c r="AI126" s="142" t="s">
        <v>1765</v>
      </c>
      <c r="AJ126" s="143" t="s">
        <v>1766</v>
      </c>
      <c r="AK126" s="142" t="s">
        <v>1767</v>
      </c>
      <c r="AL126" s="143"/>
      <c r="AM126" s="142"/>
    </row>
    <row r="127" s="71" customFormat="1" spans="1:39">
      <c r="A127" s="166" t="s">
        <v>1900</v>
      </c>
      <c r="B127" s="167" t="s">
        <v>154</v>
      </c>
      <c r="C127" s="141" t="s">
        <v>1948</v>
      </c>
      <c r="D127" s="141" t="s">
        <v>1750</v>
      </c>
      <c r="E127" s="141" t="s">
        <v>1750</v>
      </c>
      <c r="F127" s="142" t="s">
        <v>1751</v>
      </c>
      <c r="G127" s="146">
        <v>420.68</v>
      </c>
      <c r="H127" s="142" t="s">
        <v>1752</v>
      </c>
      <c r="I127" s="142" t="s">
        <v>1753</v>
      </c>
      <c r="J127" s="142" t="s">
        <v>1754</v>
      </c>
      <c r="K127" s="142" t="s">
        <v>1755</v>
      </c>
      <c r="L127" s="142" t="s">
        <v>1756</v>
      </c>
      <c r="M127" s="142" t="s">
        <v>1757</v>
      </c>
      <c r="N127" s="142" t="s">
        <v>1758</v>
      </c>
      <c r="O127" s="142" t="s">
        <v>1759</v>
      </c>
      <c r="P127" s="142"/>
      <c r="Q127" s="142"/>
      <c r="R127" s="142" t="s">
        <v>1760</v>
      </c>
      <c r="S127" s="142" t="s">
        <v>1761</v>
      </c>
      <c r="T127" s="142" t="s">
        <v>1760</v>
      </c>
      <c r="U127" s="142" t="s">
        <v>1761</v>
      </c>
      <c r="V127" s="142"/>
      <c r="W127" s="142"/>
      <c r="X127" s="142"/>
      <c r="Y127" s="142"/>
      <c r="Z127" s="143" t="s">
        <v>1762</v>
      </c>
      <c r="AA127" s="142" t="s">
        <v>1763</v>
      </c>
      <c r="AB127" s="143"/>
      <c r="AC127" s="142"/>
      <c r="AD127" s="143"/>
      <c r="AE127" s="142"/>
      <c r="AF127" s="143"/>
      <c r="AG127" s="142"/>
      <c r="AH127" s="143" t="s">
        <v>1764</v>
      </c>
      <c r="AI127" s="142" t="s">
        <v>1765</v>
      </c>
      <c r="AJ127" s="143" t="s">
        <v>1766</v>
      </c>
      <c r="AK127" s="142" t="s">
        <v>1767</v>
      </c>
      <c r="AL127" s="143"/>
      <c r="AM127" s="142"/>
    </row>
    <row r="128" s="76" customFormat="1" spans="1:39">
      <c r="A128" s="168"/>
      <c r="B128" s="165" t="s">
        <v>1784</v>
      </c>
      <c r="C128" s="169"/>
      <c r="D128" s="169"/>
      <c r="E128" s="169"/>
      <c r="F128" s="149" t="s">
        <v>1949</v>
      </c>
      <c r="G128" s="149" t="s">
        <v>1950</v>
      </c>
      <c r="H128" s="149" t="s">
        <v>1951</v>
      </c>
      <c r="I128" s="170"/>
      <c r="J128" s="170"/>
      <c r="K128" s="170" t="s">
        <v>1952</v>
      </c>
      <c r="L128" s="170"/>
      <c r="M128" s="170" t="s">
        <v>1953</v>
      </c>
      <c r="N128" s="170"/>
      <c r="O128" s="170" t="s">
        <v>1954</v>
      </c>
      <c r="P128" s="170"/>
      <c r="Q128" s="170" t="s">
        <v>1791</v>
      </c>
      <c r="R128" s="170"/>
      <c r="S128" s="170" t="s">
        <v>1955</v>
      </c>
      <c r="T128" s="170"/>
      <c r="U128" s="170" t="s">
        <v>1956</v>
      </c>
      <c r="V128" s="170"/>
      <c r="W128" s="170" t="s">
        <v>1791</v>
      </c>
      <c r="X128" s="170"/>
      <c r="Y128" s="170" t="s">
        <v>1791</v>
      </c>
      <c r="Z128" s="171"/>
      <c r="AA128" s="170" t="s">
        <v>1957</v>
      </c>
      <c r="AB128" s="171"/>
      <c r="AC128" s="170" t="s">
        <v>1791</v>
      </c>
      <c r="AD128" s="171"/>
      <c r="AE128" s="170" t="s">
        <v>1791</v>
      </c>
      <c r="AF128" s="171"/>
      <c r="AG128" s="170" t="s">
        <v>1791</v>
      </c>
      <c r="AH128" s="171"/>
      <c r="AI128" s="170" t="s">
        <v>1958</v>
      </c>
      <c r="AJ128" s="171"/>
      <c r="AK128" s="170" t="s">
        <v>1959</v>
      </c>
      <c r="AL128" s="171"/>
      <c r="AM128" s="170" t="s">
        <v>1960</v>
      </c>
    </row>
    <row r="129" s="76" customFormat="1" spans="1:39">
      <c r="A129" s="169" t="s">
        <v>1797</v>
      </c>
      <c r="B129" s="169"/>
      <c r="C129" s="169"/>
      <c r="D129" s="169"/>
      <c r="E129" s="169"/>
      <c r="F129" s="170"/>
      <c r="G129" s="172"/>
      <c r="H129" s="172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</row>
    <row r="130" s="77" customFormat="1" spans="1:39">
      <c r="A130" s="169"/>
      <c r="B130" s="169" t="s">
        <v>1784</v>
      </c>
      <c r="C130" s="169"/>
      <c r="D130" s="169"/>
      <c r="E130" s="169"/>
      <c r="F130" s="149" t="s">
        <v>1791</v>
      </c>
      <c r="G130" s="149" t="s">
        <v>1791</v>
      </c>
      <c r="H130" s="149" t="s">
        <v>1791</v>
      </c>
      <c r="I130" s="170"/>
      <c r="J130" s="170"/>
      <c r="K130" s="170" t="s">
        <v>1791</v>
      </c>
      <c r="L130" s="170"/>
      <c r="M130" s="170" t="s">
        <v>1791</v>
      </c>
      <c r="N130" s="170"/>
      <c r="O130" s="170" t="s">
        <v>1791</v>
      </c>
      <c r="P130" s="170"/>
      <c r="Q130" s="170" t="s">
        <v>1791</v>
      </c>
      <c r="R130" s="170"/>
      <c r="S130" s="170" t="s">
        <v>1791</v>
      </c>
      <c r="T130" s="170"/>
      <c r="U130" s="170" t="s">
        <v>1791</v>
      </c>
      <c r="V130" s="170"/>
      <c r="W130" s="170" t="s">
        <v>1791</v>
      </c>
      <c r="X130" s="170"/>
      <c r="Y130" s="170" t="s">
        <v>1791</v>
      </c>
      <c r="Z130" s="170"/>
      <c r="AA130" s="170" t="s">
        <v>1791</v>
      </c>
      <c r="AB130" s="170"/>
      <c r="AC130" s="170" t="s">
        <v>1791</v>
      </c>
      <c r="AD130" s="170"/>
      <c r="AE130" s="170" t="s">
        <v>1791</v>
      </c>
      <c r="AF130" s="170"/>
      <c r="AG130" s="170" t="s">
        <v>1791</v>
      </c>
      <c r="AH130" s="170"/>
      <c r="AI130" s="170" t="s">
        <v>1791</v>
      </c>
      <c r="AJ130" s="170"/>
      <c r="AK130" s="170" t="s">
        <v>1791</v>
      </c>
      <c r="AL130" s="170"/>
      <c r="AM130" s="170" t="s">
        <v>1791</v>
      </c>
    </row>
    <row r="131" s="76" customFormat="1" spans="1:39">
      <c r="A131" s="169" t="s">
        <v>1798</v>
      </c>
      <c r="B131" s="169"/>
      <c r="C131" s="169"/>
      <c r="D131" s="169"/>
      <c r="E131" s="169"/>
      <c r="F131" s="170"/>
      <c r="G131" s="172"/>
      <c r="H131" s="172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</row>
    <row r="132" s="77" customFormat="1" spans="1:39">
      <c r="A132" s="169"/>
      <c r="B132" s="169" t="s">
        <v>1784</v>
      </c>
      <c r="C132" s="169"/>
      <c r="D132" s="169"/>
      <c r="E132" s="169"/>
      <c r="F132" s="149" t="s">
        <v>1791</v>
      </c>
      <c r="G132" s="149" t="s">
        <v>1791</v>
      </c>
      <c r="H132" s="149" t="s">
        <v>1791</v>
      </c>
      <c r="I132" s="170"/>
      <c r="J132" s="170"/>
      <c r="K132" s="170" t="s">
        <v>1791</v>
      </c>
      <c r="L132" s="170"/>
      <c r="M132" s="170" t="s">
        <v>1791</v>
      </c>
      <c r="N132" s="170"/>
      <c r="O132" s="170" t="s">
        <v>1791</v>
      </c>
      <c r="P132" s="170"/>
      <c r="Q132" s="170" t="s">
        <v>1791</v>
      </c>
      <c r="R132" s="170"/>
      <c r="S132" s="170" t="s">
        <v>1791</v>
      </c>
      <c r="T132" s="170"/>
      <c r="U132" s="170" t="s">
        <v>1791</v>
      </c>
      <c r="V132" s="170"/>
      <c r="W132" s="170" t="s">
        <v>1791</v>
      </c>
      <c r="X132" s="170"/>
      <c r="Y132" s="170" t="s">
        <v>1791</v>
      </c>
      <c r="Z132" s="170"/>
      <c r="AA132" s="170" t="s">
        <v>1791</v>
      </c>
      <c r="AB132" s="170"/>
      <c r="AC132" s="170" t="s">
        <v>1791</v>
      </c>
      <c r="AD132" s="170"/>
      <c r="AE132" s="170" t="s">
        <v>1791</v>
      </c>
      <c r="AF132" s="170"/>
      <c r="AG132" s="170" t="s">
        <v>1791</v>
      </c>
      <c r="AH132" s="170"/>
      <c r="AI132" s="170" t="s">
        <v>1791</v>
      </c>
      <c r="AJ132" s="170"/>
      <c r="AK132" s="170" t="s">
        <v>1791</v>
      </c>
      <c r="AL132" s="170"/>
      <c r="AM132" s="170" t="s">
        <v>1791</v>
      </c>
    </row>
    <row r="136" s="70" customFormat="1" ht="28.5" spans="1:39">
      <c r="A136" s="130"/>
      <c r="B136" s="86" t="s">
        <v>1961</v>
      </c>
      <c r="C136" s="131"/>
      <c r="D136" s="130"/>
      <c r="E136" s="130"/>
      <c r="F136" s="132" t="s">
        <v>1723</v>
      </c>
      <c r="G136" s="173" t="s">
        <v>1724</v>
      </c>
      <c r="H136" s="173" t="s">
        <v>1725</v>
      </c>
      <c r="I136" s="132"/>
      <c r="J136" s="134" t="s">
        <v>1726</v>
      </c>
      <c r="K136" s="135"/>
      <c r="L136" s="134" t="s">
        <v>1727</v>
      </c>
      <c r="M136" s="135"/>
      <c r="N136" s="134" t="s">
        <v>1728</v>
      </c>
      <c r="O136" s="135"/>
      <c r="P136" s="134" t="s">
        <v>1729</v>
      </c>
      <c r="Q136" s="135"/>
      <c r="R136" s="134" t="s">
        <v>1730</v>
      </c>
      <c r="S136" s="135"/>
      <c r="T136" s="136" t="s">
        <v>1731</v>
      </c>
      <c r="U136" s="137"/>
      <c r="V136" s="136" t="s">
        <v>1732</v>
      </c>
      <c r="W136" s="137"/>
      <c r="X136" s="136" t="s">
        <v>1733</v>
      </c>
      <c r="Y136" s="137"/>
      <c r="Z136" s="136" t="s">
        <v>1734</v>
      </c>
      <c r="AA136" s="137"/>
      <c r="AB136" s="136" t="s">
        <v>1735</v>
      </c>
      <c r="AC136" s="137"/>
      <c r="AD136" s="134" t="s">
        <v>1736</v>
      </c>
      <c r="AE136" s="135"/>
      <c r="AF136" s="134" t="s">
        <v>1737</v>
      </c>
      <c r="AG136" s="135"/>
      <c r="AH136" s="134" t="s">
        <v>1738</v>
      </c>
      <c r="AI136" s="135"/>
      <c r="AJ136" s="134" t="s">
        <v>1739</v>
      </c>
      <c r="AK136" s="135"/>
      <c r="AL136" s="134" t="s">
        <v>1740</v>
      </c>
      <c r="AM136" s="135"/>
    </row>
    <row r="137" s="70" customFormat="1" spans="1:39">
      <c r="A137" s="138" t="s">
        <v>277</v>
      </c>
      <c r="B137" s="138" t="s">
        <v>1</v>
      </c>
      <c r="C137" s="23" t="s">
        <v>1741</v>
      </c>
      <c r="D137" s="138" t="s">
        <v>1742</v>
      </c>
      <c r="E137" s="138" t="s">
        <v>1743</v>
      </c>
      <c r="F137" s="132"/>
      <c r="G137" s="132"/>
      <c r="H137" s="132"/>
      <c r="I137" s="132" t="s">
        <v>1744</v>
      </c>
      <c r="J137" s="132" t="s">
        <v>1745</v>
      </c>
      <c r="K137" s="132" t="s">
        <v>1746</v>
      </c>
      <c r="L137" s="132" t="s">
        <v>1745</v>
      </c>
      <c r="M137" s="132" t="s">
        <v>1746</v>
      </c>
      <c r="N137" s="132" t="s">
        <v>1745</v>
      </c>
      <c r="O137" s="132" t="s">
        <v>1746</v>
      </c>
      <c r="P137" s="132" t="s">
        <v>1745</v>
      </c>
      <c r="Q137" s="132" t="s">
        <v>1746</v>
      </c>
      <c r="R137" s="132" t="s">
        <v>1745</v>
      </c>
      <c r="S137" s="132" t="s">
        <v>1746</v>
      </c>
      <c r="T137" s="132" t="s">
        <v>1745</v>
      </c>
      <c r="U137" s="132" t="s">
        <v>1746</v>
      </c>
      <c r="V137" s="132" t="s">
        <v>1745</v>
      </c>
      <c r="W137" s="132" t="s">
        <v>1746</v>
      </c>
      <c r="X137" s="132" t="s">
        <v>1745</v>
      </c>
      <c r="Y137" s="132" t="s">
        <v>1746</v>
      </c>
      <c r="Z137" s="136" t="s">
        <v>1745</v>
      </c>
      <c r="AA137" s="132" t="s">
        <v>1746</v>
      </c>
      <c r="AB137" s="136" t="s">
        <v>1745</v>
      </c>
      <c r="AC137" s="132" t="s">
        <v>1746</v>
      </c>
      <c r="AD137" s="136" t="s">
        <v>1745</v>
      </c>
      <c r="AE137" s="132" t="s">
        <v>1746</v>
      </c>
      <c r="AF137" s="136" t="s">
        <v>1745</v>
      </c>
      <c r="AG137" s="132" t="s">
        <v>1746</v>
      </c>
      <c r="AH137" s="136" t="s">
        <v>1745</v>
      </c>
      <c r="AI137" s="132" t="s">
        <v>1746</v>
      </c>
      <c r="AJ137" s="136" t="s">
        <v>1745</v>
      </c>
      <c r="AK137" s="132" t="s">
        <v>1746</v>
      </c>
      <c r="AL137" s="136" t="s">
        <v>1745</v>
      </c>
      <c r="AM137" s="132" t="s">
        <v>1746</v>
      </c>
    </row>
    <row r="138" s="71" customFormat="1" spans="1:39">
      <c r="A138" s="174" t="s">
        <v>1747</v>
      </c>
      <c r="B138" s="175"/>
      <c r="C138" s="141"/>
      <c r="D138" s="141"/>
      <c r="E138" s="141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3"/>
      <c r="AA138" s="142"/>
      <c r="AB138" s="143"/>
      <c r="AC138" s="142"/>
      <c r="AD138" s="143"/>
      <c r="AE138" s="142"/>
      <c r="AF138" s="143"/>
      <c r="AG138" s="142"/>
      <c r="AH138" s="143"/>
      <c r="AI138" s="142"/>
      <c r="AJ138" s="143"/>
      <c r="AK138" s="142"/>
      <c r="AL138" s="143"/>
      <c r="AM138" s="142"/>
    </row>
    <row r="139" s="71" customFormat="1" spans="1:39">
      <c r="A139" s="176" t="s">
        <v>1748</v>
      </c>
      <c r="B139" s="177" t="s">
        <v>262</v>
      </c>
      <c r="C139" s="141" t="s">
        <v>1962</v>
      </c>
      <c r="D139" s="141" t="s">
        <v>1750</v>
      </c>
      <c r="E139" s="141" t="s">
        <v>1750</v>
      </c>
      <c r="F139" s="142" t="s">
        <v>1856</v>
      </c>
      <c r="G139" s="146">
        <v>521.58</v>
      </c>
      <c r="H139" s="142" t="s">
        <v>1857</v>
      </c>
      <c r="I139" s="142" t="s">
        <v>1821</v>
      </c>
      <c r="J139" s="142" t="s">
        <v>1754</v>
      </c>
      <c r="K139" s="142" t="s">
        <v>1755</v>
      </c>
      <c r="L139" s="142" t="s">
        <v>1756</v>
      </c>
      <c r="M139" s="142" t="s">
        <v>1757</v>
      </c>
      <c r="N139" s="142" t="s">
        <v>1775</v>
      </c>
      <c r="O139" s="142" t="s">
        <v>1776</v>
      </c>
      <c r="P139" s="142"/>
      <c r="Q139" s="142"/>
      <c r="R139" s="142" t="s">
        <v>1777</v>
      </c>
      <c r="S139" s="142" t="s">
        <v>1778</v>
      </c>
      <c r="T139" s="142" t="s">
        <v>1760</v>
      </c>
      <c r="U139" s="142" t="s">
        <v>1761</v>
      </c>
      <c r="V139" s="142"/>
      <c r="W139" s="142"/>
      <c r="X139" s="142"/>
      <c r="Y139" s="142"/>
      <c r="Z139" s="143" t="s">
        <v>1762</v>
      </c>
      <c r="AA139" s="142" t="s">
        <v>1763</v>
      </c>
      <c r="AB139" s="143"/>
      <c r="AC139" s="142"/>
      <c r="AD139" s="143"/>
      <c r="AE139" s="142"/>
      <c r="AF139" s="143"/>
      <c r="AG139" s="142"/>
      <c r="AH139" s="143" t="s">
        <v>1764</v>
      </c>
      <c r="AI139" s="142" t="s">
        <v>1765</v>
      </c>
      <c r="AJ139" s="143" t="s">
        <v>1766</v>
      </c>
      <c r="AK139" s="142" t="s">
        <v>1767</v>
      </c>
      <c r="AL139" s="143" t="s">
        <v>1782</v>
      </c>
      <c r="AM139" s="142" t="s">
        <v>1808</v>
      </c>
    </row>
    <row r="140" s="78" customFormat="1" spans="1:39">
      <c r="A140" s="178"/>
      <c r="B140" s="175" t="s">
        <v>1784</v>
      </c>
      <c r="C140" s="179"/>
      <c r="D140" s="179"/>
      <c r="E140" s="179"/>
      <c r="F140" s="149" t="s">
        <v>1856</v>
      </c>
      <c r="G140" s="149" t="s">
        <v>1963</v>
      </c>
      <c r="H140" s="149" t="s">
        <v>1857</v>
      </c>
      <c r="I140" s="180"/>
      <c r="J140" s="180"/>
      <c r="K140" s="180" t="s">
        <v>1755</v>
      </c>
      <c r="L140" s="180"/>
      <c r="M140" s="180" t="s">
        <v>1757</v>
      </c>
      <c r="N140" s="180"/>
      <c r="O140" s="180" t="s">
        <v>1776</v>
      </c>
      <c r="P140" s="180"/>
      <c r="Q140" s="180" t="s">
        <v>1791</v>
      </c>
      <c r="R140" s="180"/>
      <c r="S140" s="180" t="s">
        <v>1778</v>
      </c>
      <c r="T140" s="180"/>
      <c r="U140" s="180" t="s">
        <v>1761</v>
      </c>
      <c r="V140" s="180"/>
      <c r="W140" s="180" t="s">
        <v>1791</v>
      </c>
      <c r="X140" s="180"/>
      <c r="Y140" s="180" t="s">
        <v>1791</v>
      </c>
      <c r="Z140" s="181"/>
      <c r="AA140" s="180" t="s">
        <v>1763</v>
      </c>
      <c r="AB140" s="181"/>
      <c r="AC140" s="180" t="s">
        <v>1791</v>
      </c>
      <c r="AD140" s="181"/>
      <c r="AE140" s="180" t="s">
        <v>1791</v>
      </c>
      <c r="AF140" s="181"/>
      <c r="AG140" s="180" t="s">
        <v>1791</v>
      </c>
      <c r="AH140" s="181"/>
      <c r="AI140" s="180" t="s">
        <v>1765</v>
      </c>
      <c r="AJ140" s="181"/>
      <c r="AK140" s="180" t="s">
        <v>1767</v>
      </c>
      <c r="AL140" s="181"/>
      <c r="AM140" s="180" t="s">
        <v>1808</v>
      </c>
    </row>
    <row r="141" s="78" customFormat="1" spans="1:39">
      <c r="A141" s="179" t="s">
        <v>1797</v>
      </c>
      <c r="B141" s="179"/>
      <c r="C141" s="179"/>
      <c r="D141" s="179"/>
      <c r="E141" s="179"/>
      <c r="F141" s="180"/>
      <c r="G141" s="182"/>
      <c r="H141" s="182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80"/>
      <c r="AL141" s="180"/>
      <c r="AM141" s="180"/>
    </row>
    <row r="142" s="79" customFormat="1" spans="1:39">
      <c r="A142" s="179"/>
      <c r="B142" s="179" t="s">
        <v>1784</v>
      </c>
      <c r="C142" s="179"/>
      <c r="D142" s="179"/>
      <c r="E142" s="179"/>
      <c r="F142" s="149" t="s">
        <v>1791</v>
      </c>
      <c r="G142" s="149" t="s">
        <v>1791</v>
      </c>
      <c r="H142" s="149" t="s">
        <v>1791</v>
      </c>
      <c r="I142" s="180"/>
      <c r="J142" s="180"/>
      <c r="K142" s="180" t="s">
        <v>1791</v>
      </c>
      <c r="L142" s="180"/>
      <c r="M142" s="180" t="s">
        <v>1791</v>
      </c>
      <c r="N142" s="180"/>
      <c r="O142" s="180" t="s">
        <v>1791</v>
      </c>
      <c r="P142" s="180"/>
      <c r="Q142" s="180" t="s">
        <v>1791</v>
      </c>
      <c r="R142" s="180"/>
      <c r="S142" s="180" t="s">
        <v>1791</v>
      </c>
      <c r="T142" s="180"/>
      <c r="U142" s="180" t="s">
        <v>1791</v>
      </c>
      <c r="V142" s="180"/>
      <c r="W142" s="180" t="s">
        <v>1791</v>
      </c>
      <c r="X142" s="180"/>
      <c r="Y142" s="180" t="s">
        <v>1791</v>
      </c>
      <c r="Z142" s="180"/>
      <c r="AA142" s="180" t="s">
        <v>1791</v>
      </c>
      <c r="AB142" s="180"/>
      <c r="AC142" s="180" t="s">
        <v>1791</v>
      </c>
      <c r="AD142" s="180"/>
      <c r="AE142" s="180" t="s">
        <v>1791</v>
      </c>
      <c r="AF142" s="180"/>
      <c r="AG142" s="180" t="s">
        <v>1791</v>
      </c>
      <c r="AH142" s="180"/>
      <c r="AI142" s="180" t="s">
        <v>1791</v>
      </c>
      <c r="AJ142" s="180"/>
      <c r="AK142" s="180" t="s">
        <v>1791</v>
      </c>
      <c r="AL142" s="180"/>
      <c r="AM142" s="180" t="s">
        <v>1791</v>
      </c>
    </row>
    <row r="143" s="78" customFormat="1" spans="1:39">
      <c r="A143" s="179" t="s">
        <v>1798</v>
      </c>
      <c r="B143" s="179"/>
      <c r="C143" s="179"/>
      <c r="D143" s="179"/>
      <c r="E143" s="179"/>
      <c r="F143" s="180"/>
      <c r="G143" s="182"/>
      <c r="H143" s="182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80"/>
      <c r="AL143" s="180"/>
      <c r="AM143" s="180"/>
    </row>
    <row r="144" s="79" customFormat="1" spans="1:39">
      <c r="A144" s="179"/>
      <c r="B144" s="179" t="s">
        <v>1784</v>
      </c>
      <c r="C144" s="179"/>
      <c r="D144" s="179"/>
      <c r="E144" s="179"/>
      <c r="F144" s="149" t="s">
        <v>1791</v>
      </c>
      <c r="G144" s="149" t="s">
        <v>1791</v>
      </c>
      <c r="H144" s="149" t="s">
        <v>1791</v>
      </c>
      <c r="I144" s="180"/>
      <c r="J144" s="180"/>
      <c r="K144" s="180" t="s">
        <v>1791</v>
      </c>
      <c r="L144" s="180"/>
      <c r="M144" s="180" t="s">
        <v>1791</v>
      </c>
      <c r="N144" s="180"/>
      <c r="O144" s="180" t="s">
        <v>1791</v>
      </c>
      <c r="P144" s="180"/>
      <c r="Q144" s="180" t="s">
        <v>1791</v>
      </c>
      <c r="R144" s="180"/>
      <c r="S144" s="180" t="s">
        <v>1791</v>
      </c>
      <c r="T144" s="180"/>
      <c r="U144" s="180" t="s">
        <v>1791</v>
      </c>
      <c r="V144" s="180"/>
      <c r="W144" s="180" t="s">
        <v>1791</v>
      </c>
      <c r="X144" s="180"/>
      <c r="Y144" s="180" t="s">
        <v>1791</v>
      </c>
      <c r="Z144" s="180"/>
      <c r="AA144" s="180" t="s">
        <v>1791</v>
      </c>
      <c r="AB144" s="180"/>
      <c r="AC144" s="180" t="s">
        <v>1791</v>
      </c>
      <c r="AD144" s="180"/>
      <c r="AE144" s="180" t="s">
        <v>1791</v>
      </c>
      <c r="AF144" s="180"/>
      <c r="AG144" s="180" t="s">
        <v>1791</v>
      </c>
      <c r="AH144" s="180"/>
      <c r="AI144" s="180" t="s">
        <v>1791</v>
      </c>
      <c r="AJ144" s="180"/>
      <c r="AK144" s="180" t="s">
        <v>1791</v>
      </c>
      <c r="AL144" s="180"/>
      <c r="AM144" s="180" t="s">
        <v>1791</v>
      </c>
    </row>
    <row r="147" s="13" customFormat="1" spans="1:19">
      <c r="A147" s="183" t="s">
        <v>277</v>
      </c>
      <c r="B147" s="183" t="s">
        <v>1964</v>
      </c>
      <c r="C147" s="183" t="s">
        <v>1965</v>
      </c>
      <c r="D147" s="183" t="s">
        <v>1966</v>
      </c>
      <c r="E147" s="183" t="s">
        <v>1</v>
      </c>
      <c r="F147" s="183" t="s">
        <v>1967</v>
      </c>
      <c r="G147" s="183" t="s">
        <v>1968</v>
      </c>
      <c r="H147" s="183" t="s">
        <v>1969</v>
      </c>
      <c r="I147" s="183" t="s">
        <v>1970</v>
      </c>
      <c r="J147" s="183" t="s">
        <v>1971</v>
      </c>
      <c r="K147" s="183" t="s">
        <v>1972</v>
      </c>
      <c r="L147" s="183" t="s">
        <v>1973</v>
      </c>
      <c r="M147" s="183" t="s">
        <v>1974</v>
      </c>
      <c r="N147" s="183" t="s">
        <v>1975</v>
      </c>
      <c r="O147" s="183" t="s">
        <v>1976</v>
      </c>
      <c r="P147" s="183" t="s">
        <v>1977</v>
      </c>
      <c r="Q147" s="183" t="s">
        <v>1978</v>
      </c>
      <c r="R147" s="184" t="s">
        <v>1979</v>
      </c>
      <c r="S147" s="183" t="s">
        <v>1980</v>
      </c>
    </row>
    <row r="148" s="13" customFormat="1" spans="1:19">
      <c r="A148" s="183">
        <v>1</v>
      </c>
      <c r="B148" s="183" t="str">
        <f t="shared" ref="B148:B152" si="0">"451047341"</f>
        <v>451047341</v>
      </c>
      <c r="C148" s="183" t="s">
        <v>1981</v>
      </c>
      <c r="D148" s="183" t="str">
        <f>"453107326510"</f>
        <v>453107326510</v>
      </c>
      <c r="E148" s="183" t="s">
        <v>199</v>
      </c>
      <c r="F148" s="183" t="str">
        <f>"450702199711209026"</f>
        <v>450702199711209026</v>
      </c>
      <c r="G148" s="183" t="s">
        <v>1982</v>
      </c>
      <c r="H148" s="183">
        <v>202604</v>
      </c>
      <c r="I148" s="183">
        <v>202604</v>
      </c>
      <c r="J148" s="183">
        <v>4143</v>
      </c>
      <c r="K148" s="183">
        <v>662.88</v>
      </c>
      <c r="L148" s="183">
        <v>331.44</v>
      </c>
      <c r="M148" s="183">
        <v>20.72</v>
      </c>
      <c r="N148" s="183">
        <v>20.72</v>
      </c>
      <c r="O148" s="183">
        <v>8.29</v>
      </c>
      <c r="P148" s="183">
        <v>1044.05</v>
      </c>
      <c r="Q148" s="183">
        <f>L148+N148</f>
        <v>352.16</v>
      </c>
      <c r="R148" s="183">
        <f>Q148+82.26</f>
        <v>434.42</v>
      </c>
      <c r="S148" s="183">
        <f>K148+M148+O148+352.16</f>
        <v>1044.05</v>
      </c>
    </row>
    <row r="149" s="13" customFormat="1" spans="1:19">
      <c r="A149" s="183">
        <v>2</v>
      </c>
      <c r="B149" s="183" t="str">
        <f t="shared" si="0"/>
        <v>451047341</v>
      </c>
      <c r="C149" s="183" t="s">
        <v>1981</v>
      </c>
      <c r="D149" s="183" t="str">
        <f>"453107840282"</f>
        <v>453107840282</v>
      </c>
      <c r="E149" s="183" t="s">
        <v>197</v>
      </c>
      <c r="F149" s="183" t="str">
        <f>"450722198806156968"</f>
        <v>450722198806156968</v>
      </c>
      <c r="G149" s="183" t="s">
        <v>1982</v>
      </c>
      <c r="H149" s="183">
        <v>202604</v>
      </c>
      <c r="I149" s="183">
        <v>202604</v>
      </c>
      <c r="J149" s="183">
        <v>4143</v>
      </c>
      <c r="K149" s="183">
        <v>662.88</v>
      </c>
      <c r="L149" s="183">
        <v>331.44</v>
      </c>
      <c r="M149" s="183">
        <v>20.72</v>
      </c>
      <c r="N149" s="183">
        <v>20.72</v>
      </c>
      <c r="O149" s="183">
        <v>8.29</v>
      </c>
      <c r="P149" s="183">
        <v>1044.05</v>
      </c>
      <c r="Q149" s="183">
        <f>L149+N149</f>
        <v>352.16</v>
      </c>
      <c r="R149" s="183">
        <f>Q149+82.26</f>
        <v>434.42</v>
      </c>
      <c r="S149" s="183">
        <f>K149+M149+O149+352.16</f>
        <v>1044.05</v>
      </c>
    </row>
    <row r="150" s="13" customFormat="1" spans="1:19">
      <c r="A150" s="183">
        <v>3</v>
      </c>
      <c r="B150" s="183" t="str">
        <f t="shared" si="0"/>
        <v>451047341</v>
      </c>
      <c r="C150" s="183" t="s">
        <v>1981</v>
      </c>
      <c r="D150" s="183" t="str">
        <f>"453117842109"</f>
        <v>453117842109</v>
      </c>
      <c r="E150" s="183" t="s">
        <v>201</v>
      </c>
      <c r="F150" s="183" t="str">
        <f>"450721199007256346"</f>
        <v>450721199007256346</v>
      </c>
      <c r="G150" s="183" t="s">
        <v>1982</v>
      </c>
      <c r="H150" s="183">
        <v>202604</v>
      </c>
      <c r="I150" s="183">
        <v>202604</v>
      </c>
      <c r="J150" s="183">
        <v>4143</v>
      </c>
      <c r="K150" s="183">
        <v>662.88</v>
      </c>
      <c r="L150" s="183">
        <v>331.44</v>
      </c>
      <c r="M150" s="183">
        <v>20.72</v>
      </c>
      <c r="N150" s="183">
        <v>20.72</v>
      </c>
      <c r="O150" s="183">
        <v>8.29</v>
      </c>
      <c r="P150" s="183">
        <v>1044.05</v>
      </c>
      <c r="Q150" s="183">
        <f>L150+N150</f>
        <v>352.16</v>
      </c>
      <c r="R150" s="183">
        <f>Q150+82.26</f>
        <v>434.42</v>
      </c>
      <c r="S150" s="183">
        <f>K150+M150+O150+352.16</f>
        <v>1044.05</v>
      </c>
    </row>
    <row r="151" s="13" customFormat="1" spans="1:19">
      <c r="A151" s="183">
        <v>4</v>
      </c>
      <c r="B151" s="183" t="str">
        <f t="shared" si="0"/>
        <v>451047341</v>
      </c>
      <c r="C151" s="183" t="s">
        <v>1981</v>
      </c>
      <c r="D151" s="183" t="str">
        <f>"453125453496"</f>
        <v>453125453496</v>
      </c>
      <c r="E151" s="183" t="s">
        <v>193</v>
      </c>
      <c r="F151" s="183" t="str">
        <f>"450703199806036945"</f>
        <v>450703199806036945</v>
      </c>
      <c r="G151" s="183" t="s">
        <v>1982</v>
      </c>
      <c r="H151" s="183">
        <v>202604</v>
      </c>
      <c r="I151" s="183">
        <v>202604</v>
      </c>
      <c r="J151" s="183">
        <v>4143</v>
      </c>
      <c r="K151" s="183">
        <v>662.88</v>
      </c>
      <c r="L151" s="183">
        <v>331.44</v>
      </c>
      <c r="M151" s="183">
        <v>20.72</v>
      </c>
      <c r="N151" s="183">
        <v>20.72</v>
      </c>
      <c r="O151" s="183">
        <v>8.29</v>
      </c>
      <c r="P151" s="183">
        <v>1044.05</v>
      </c>
      <c r="Q151" s="183">
        <f>L151+N151</f>
        <v>352.16</v>
      </c>
      <c r="R151" s="183">
        <f>Q151+82.26</f>
        <v>434.42</v>
      </c>
      <c r="S151" s="183">
        <f>K151+M151+O151+352.16</f>
        <v>1044.05</v>
      </c>
    </row>
    <row r="152" s="13" customFormat="1" spans="1:19">
      <c r="A152" s="183">
        <v>5</v>
      </c>
      <c r="B152" s="183" t="str">
        <f t="shared" si="0"/>
        <v>451047341</v>
      </c>
      <c r="C152" s="183" t="s">
        <v>1981</v>
      </c>
      <c r="D152" s="183" t="str">
        <f>"455002709904"</f>
        <v>455002709904</v>
      </c>
      <c r="E152" s="183" t="s">
        <v>203</v>
      </c>
      <c r="F152" s="183" t="str">
        <f>"450702199907020321"</f>
        <v>450702199907020321</v>
      </c>
      <c r="G152" s="183" t="s">
        <v>1982</v>
      </c>
      <c r="H152" s="183">
        <v>202604</v>
      </c>
      <c r="I152" s="183">
        <v>202604</v>
      </c>
      <c r="J152" s="183">
        <v>4143</v>
      </c>
      <c r="K152" s="183">
        <v>662.88</v>
      </c>
      <c r="L152" s="183">
        <v>331.44</v>
      </c>
      <c r="M152" s="183">
        <v>20.72</v>
      </c>
      <c r="N152" s="183">
        <v>20.72</v>
      </c>
      <c r="O152" s="183">
        <v>8.29</v>
      </c>
      <c r="P152" s="183">
        <v>1044.05</v>
      </c>
      <c r="Q152" s="183">
        <f>L152+N152</f>
        <v>352.16</v>
      </c>
      <c r="R152" s="183">
        <f>Q152+82.26</f>
        <v>434.42</v>
      </c>
      <c r="S152" s="183">
        <f>K152+M152+O152+352.16</f>
        <v>1044.05</v>
      </c>
    </row>
    <row r="155" s="80" customFormat="1" ht="21.5" customHeight="1" spans="1:19">
      <c r="A155" s="185" t="s">
        <v>1983</v>
      </c>
    </row>
    <row r="156" s="80" customFormat="1" spans="1:19">
      <c r="B156" s="186" t="s">
        <v>1984</v>
      </c>
      <c r="E156" s="186" t="s">
        <v>1985</v>
      </c>
      <c r="M156" s="187" t="s">
        <v>1986</v>
      </c>
    </row>
    <row r="157" s="80" customFormat="1" ht="44.25" spans="1:19">
      <c r="A157" s="188" t="s">
        <v>277</v>
      </c>
      <c r="B157" s="188" t="s">
        <v>1987</v>
      </c>
      <c r="C157" s="188" t="s">
        <v>1988</v>
      </c>
      <c r="D157" s="188" t="s">
        <v>1741</v>
      </c>
      <c r="E157" s="188" t="s">
        <v>1989</v>
      </c>
      <c r="F157" s="188" t="s">
        <v>1990</v>
      </c>
      <c r="G157" s="188" t="s">
        <v>1991</v>
      </c>
      <c r="H157" s="188" t="s">
        <v>1992</v>
      </c>
      <c r="I157" s="188" t="s">
        <v>1993</v>
      </c>
      <c r="J157" s="188" t="s">
        <v>1994</v>
      </c>
      <c r="K157" s="188" t="s">
        <v>1995</v>
      </c>
      <c r="L157" s="188" t="s">
        <v>1996</v>
      </c>
      <c r="M157" s="188" t="s">
        <v>1997</v>
      </c>
      <c r="N157" s="188" t="s">
        <v>1998</v>
      </c>
      <c r="O157" s="188" t="s">
        <v>1999</v>
      </c>
      <c r="P157" s="188" t="s">
        <v>2000</v>
      </c>
    </row>
    <row r="158" s="80" customFormat="1" spans="1:19">
      <c r="A158" s="189">
        <v>1</v>
      </c>
      <c r="B158" s="189" t="s">
        <v>2001</v>
      </c>
      <c r="C158" s="189" t="s">
        <v>203</v>
      </c>
      <c r="D158" s="189" t="s">
        <v>2002</v>
      </c>
      <c r="E158" s="189" t="s">
        <v>2003</v>
      </c>
      <c r="F158" s="189" t="s">
        <v>2004</v>
      </c>
      <c r="G158" s="189">
        <v>202604</v>
      </c>
      <c r="H158" s="189">
        <v>202604</v>
      </c>
      <c r="I158" s="189" t="s">
        <v>2005</v>
      </c>
      <c r="J158" s="189" t="s">
        <v>1982</v>
      </c>
      <c r="K158" s="189">
        <v>4143</v>
      </c>
      <c r="L158" s="189">
        <v>352.16</v>
      </c>
      <c r="M158" s="189">
        <v>82.86</v>
      </c>
      <c r="N158" s="189">
        <v>435.02</v>
      </c>
      <c r="O158" s="189">
        <v>82.86</v>
      </c>
      <c r="P158" s="189">
        <v>0</v>
      </c>
    </row>
    <row r="159" s="80" customFormat="1" spans="1:19">
      <c r="A159" s="189">
        <v>2</v>
      </c>
      <c r="B159" s="189" t="s">
        <v>2006</v>
      </c>
      <c r="C159" s="189" t="s">
        <v>199</v>
      </c>
      <c r="D159" s="189" t="s">
        <v>2007</v>
      </c>
      <c r="E159" s="189" t="s">
        <v>2003</v>
      </c>
      <c r="F159" s="189" t="s">
        <v>2004</v>
      </c>
      <c r="G159" s="189">
        <v>202604</v>
      </c>
      <c r="H159" s="189">
        <v>202604</v>
      </c>
      <c r="I159" s="189" t="s">
        <v>2005</v>
      </c>
      <c r="J159" s="189" t="s">
        <v>1982</v>
      </c>
      <c r="K159" s="189">
        <v>4143</v>
      </c>
      <c r="L159" s="189">
        <v>352.16</v>
      </c>
      <c r="M159" s="189">
        <v>82.86</v>
      </c>
      <c r="N159" s="189">
        <v>435.02</v>
      </c>
      <c r="O159" s="189">
        <v>82.86</v>
      </c>
      <c r="P159" s="189">
        <v>0</v>
      </c>
    </row>
    <row r="160" s="80" customFormat="1" spans="1:19">
      <c r="A160" s="189">
        <v>3</v>
      </c>
      <c r="B160" s="189" t="s">
        <v>2008</v>
      </c>
      <c r="C160" s="189" t="s">
        <v>201</v>
      </c>
      <c r="D160" s="189" t="s">
        <v>2009</v>
      </c>
      <c r="E160" s="189" t="s">
        <v>2003</v>
      </c>
      <c r="F160" s="189" t="s">
        <v>2004</v>
      </c>
      <c r="G160" s="189">
        <v>202604</v>
      </c>
      <c r="H160" s="189">
        <v>202604</v>
      </c>
      <c r="I160" s="189" t="s">
        <v>2005</v>
      </c>
      <c r="J160" s="189" t="s">
        <v>1982</v>
      </c>
      <c r="K160" s="189">
        <v>4143</v>
      </c>
      <c r="L160" s="189">
        <v>352.16</v>
      </c>
      <c r="M160" s="189">
        <v>82.86</v>
      </c>
      <c r="N160" s="189">
        <v>435.02</v>
      </c>
      <c r="O160" s="189">
        <v>82.86</v>
      </c>
      <c r="P160" s="189">
        <v>0</v>
      </c>
    </row>
    <row r="161" s="80" customFormat="1" spans="1:23">
      <c r="A161" s="189">
        <v>4</v>
      </c>
      <c r="B161" s="189" t="s">
        <v>2010</v>
      </c>
      <c r="C161" s="189" t="s">
        <v>197</v>
      </c>
      <c r="D161" s="189" t="s">
        <v>2011</v>
      </c>
      <c r="E161" s="189" t="s">
        <v>2003</v>
      </c>
      <c r="F161" s="189" t="s">
        <v>2004</v>
      </c>
      <c r="G161" s="189">
        <v>202604</v>
      </c>
      <c r="H161" s="189">
        <v>202604</v>
      </c>
      <c r="I161" s="189" t="s">
        <v>2005</v>
      </c>
      <c r="J161" s="189" t="s">
        <v>1982</v>
      </c>
      <c r="K161" s="189">
        <v>4143</v>
      </c>
      <c r="L161" s="189">
        <v>352.16</v>
      </c>
      <c r="M161" s="189">
        <v>82.86</v>
      </c>
      <c r="N161" s="189">
        <v>435.02</v>
      </c>
      <c r="O161" s="189">
        <v>82.86</v>
      </c>
      <c r="P161" s="189">
        <v>0</v>
      </c>
    </row>
    <row r="162" s="80" customFormat="1" spans="1:23">
      <c r="A162" s="189">
        <v>5</v>
      </c>
      <c r="B162" s="189" t="s">
        <v>2012</v>
      </c>
      <c r="C162" s="189" t="s">
        <v>193</v>
      </c>
      <c r="D162" s="189" t="s">
        <v>2013</v>
      </c>
      <c r="E162" s="189" t="s">
        <v>2003</v>
      </c>
      <c r="F162" s="189" t="s">
        <v>2004</v>
      </c>
      <c r="G162" s="189">
        <v>202604</v>
      </c>
      <c r="H162" s="189">
        <v>202604</v>
      </c>
      <c r="I162" s="189" t="s">
        <v>2005</v>
      </c>
      <c r="J162" s="189" t="s">
        <v>1982</v>
      </c>
      <c r="K162" s="189">
        <v>4143</v>
      </c>
      <c r="L162" s="189">
        <v>352.16</v>
      </c>
      <c r="M162" s="189">
        <v>82.86</v>
      </c>
      <c r="N162" s="189">
        <v>435.02</v>
      </c>
      <c r="O162" s="189">
        <v>82.86</v>
      </c>
      <c r="P162" s="189">
        <v>0</v>
      </c>
    </row>
    <row r="163" s="80" customFormat="1" spans="1:23">
      <c r="A163" s="189" t="s">
        <v>2014</v>
      </c>
      <c r="B163" s="189" t="s">
        <v>2015</v>
      </c>
      <c r="C163" s="189" t="s">
        <v>2015</v>
      </c>
      <c r="D163" s="189" t="s">
        <v>2015</v>
      </c>
      <c r="E163" s="190" t="s">
        <v>2016</v>
      </c>
      <c r="F163" s="189" t="s">
        <v>2015</v>
      </c>
      <c r="G163" s="189" t="s">
        <v>2015</v>
      </c>
      <c r="H163" s="189" t="s">
        <v>2015</v>
      </c>
      <c r="I163" s="189" t="s">
        <v>2015</v>
      </c>
      <c r="J163" s="189" t="s">
        <v>2015</v>
      </c>
      <c r="K163" s="189">
        <v>20715</v>
      </c>
      <c r="L163" s="189">
        <v>1760.8</v>
      </c>
      <c r="M163" s="189">
        <v>414.3</v>
      </c>
      <c r="N163" s="189">
        <v>2175.1</v>
      </c>
      <c r="O163" s="189">
        <v>414.3</v>
      </c>
      <c r="P163" s="189">
        <v>0</v>
      </c>
    </row>
    <row r="167" s="80" customFormat="1" ht="24" customHeight="1" spans="1:23">
      <c r="A167" s="191" t="s">
        <v>2017</v>
      </c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</row>
    <row r="168" s="81" customFormat="1" ht="24" customHeight="1" spans="1:23">
      <c r="A168" s="192" t="s">
        <v>277</v>
      </c>
      <c r="B168" s="192" t="s">
        <v>2018</v>
      </c>
      <c r="C168" s="192" t="s">
        <v>1</v>
      </c>
      <c r="D168" s="192" t="s">
        <v>1967</v>
      </c>
      <c r="E168" s="193" t="s">
        <v>1723</v>
      </c>
      <c r="F168" s="194"/>
      <c r="G168" s="194"/>
      <c r="H168" s="195" t="s">
        <v>2019</v>
      </c>
      <c r="I168" s="194"/>
      <c r="J168" s="196"/>
      <c r="K168" s="193" t="s">
        <v>2020</v>
      </c>
      <c r="L168" s="194"/>
      <c r="M168" s="193" t="s">
        <v>2021</v>
      </c>
      <c r="N168" s="194"/>
      <c r="O168" s="197"/>
      <c r="P168" s="194" t="s">
        <v>2022</v>
      </c>
      <c r="Q168" s="194"/>
      <c r="R168" s="196"/>
      <c r="S168" s="193" t="s">
        <v>2023</v>
      </c>
      <c r="T168" s="194"/>
      <c r="U168" s="193" t="s">
        <v>2024</v>
      </c>
      <c r="V168" s="194"/>
      <c r="W168" s="198"/>
    </row>
    <row r="169" s="81" customFormat="1" ht="24" customHeight="1" spans="1:23">
      <c r="A169" s="199"/>
      <c r="B169" s="199"/>
      <c r="C169" s="199"/>
      <c r="D169" s="199"/>
      <c r="E169" s="35" t="s">
        <v>2025</v>
      </c>
      <c r="F169" s="35" t="s">
        <v>2026</v>
      </c>
      <c r="G169" s="193" t="s">
        <v>2027</v>
      </c>
      <c r="H169" s="200" t="s">
        <v>1971</v>
      </c>
      <c r="I169" s="35" t="s">
        <v>2028</v>
      </c>
      <c r="J169" s="35" t="s">
        <v>2029</v>
      </c>
      <c r="K169" s="35" t="s">
        <v>1971</v>
      </c>
      <c r="L169" s="35" t="s">
        <v>2029</v>
      </c>
      <c r="M169" s="35" t="s">
        <v>1971</v>
      </c>
      <c r="N169" s="35" t="s">
        <v>2028</v>
      </c>
      <c r="O169" s="201" t="s">
        <v>2029</v>
      </c>
      <c r="P169" s="196" t="s">
        <v>1971</v>
      </c>
      <c r="Q169" s="35" t="s">
        <v>2028</v>
      </c>
      <c r="R169" s="35" t="s">
        <v>2029</v>
      </c>
      <c r="S169" s="35" t="s">
        <v>1971</v>
      </c>
      <c r="T169" s="35" t="s">
        <v>2029</v>
      </c>
      <c r="U169" s="35" t="s">
        <v>1971</v>
      </c>
      <c r="V169" s="35" t="s">
        <v>2028</v>
      </c>
      <c r="W169" s="35" t="s">
        <v>2030</v>
      </c>
    </row>
    <row r="170" s="82" customFormat="1" spans="1:23">
      <c r="A170" s="35">
        <v>1</v>
      </c>
      <c r="B170" s="35"/>
      <c r="C170" s="35" t="s">
        <v>266</v>
      </c>
      <c r="D170" s="35" t="s">
        <v>2031</v>
      </c>
      <c r="E170" s="202">
        <f t="shared" ref="E170:E186" si="1">F170+G170</f>
        <v>1621.79</v>
      </c>
      <c r="F170" s="202">
        <f t="shared" ref="F170:F186" si="2">I170+N170+Q170+V170</f>
        <v>470.29</v>
      </c>
      <c r="G170" s="203">
        <f t="shared" ref="G170:G186" si="3">J170+L170+O170+R170+T170</f>
        <v>1151.5</v>
      </c>
      <c r="H170" s="204">
        <v>4498</v>
      </c>
      <c r="I170" s="202">
        <v>359.84</v>
      </c>
      <c r="J170" s="202">
        <v>719.68</v>
      </c>
      <c r="K170" s="202">
        <v>4498</v>
      </c>
      <c r="L170" s="202">
        <v>9</v>
      </c>
      <c r="M170" s="202">
        <v>4498</v>
      </c>
      <c r="N170" s="202">
        <v>13.49</v>
      </c>
      <c r="O170" s="205">
        <v>31.49</v>
      </c>
      <c r="P170" s="202">
        <v>4498</v>
      </c>
      <c r="Q170" s="202">
        <v>89.96</v>
      </c>
      <c r="R170" s="202">
        <v>391.33</v>
      </c>
      <c r="S170" s="202">
        <v>0</v>
      </c>
      <c r="T170" s="202">
        <v>0</v>
      </c>
      <c r="U170" s="202">
        <v>7</v>
      </c>
      <c r="V170" s="202">
        <v>7</v>
      </c>
      <c r="W170" s="35" t="s">
        <v>2032</v>
      </c>
    </row>
    <row r="171" s="82" customFormat="1" spans="1:23">
      <c r="A171" s="35">
        <v>2</v>
      </c>
      <c r="B171" s="35"/>
      <c r="C171" s="35" t="s">
        <v>216</v>
      </c>
      <c r="D171" s="35" t="s">
        <v>2033</v>
      </c>
      <c r="E171" s="202">
        <f t="shared" si="1"/>
        <v>1621.79</v>
      </c>
      <c r="F171" s="202">
        <f t="shared" si="2"/>
        <v>470.29</v>
      </c>
      <c r="G171" s="203">
        <f t="shared" si="3"/>
        <v>1151.5</v>
      </c>
      <c r="H171" s="204">
        <v>4498</v>
      </c>
      <c r="I171" s="202">
        <v>359.84</v>
      </c>
      <c r="J171" s="202">
        <v>719.68</v>
      </c>
      <c r="K171" s="202">
        <v>4498</v>
      </c>
      <c r="L171" s="202">
        <v>9</v>
      </c>
      <c r="M171" s="202">
        <v>4498</v>
      </c>
      <c r="N171" s="202">
        <v>13.49</v>
      </c>
      <c r="O171" s="205">
        <v>31.49</v>
      </c>
      <c r="P171" s="202">
        <v>4498</v>
      </c>
      <c r="Q171" s="202">
        <v>89.96</v>
      </c>
      <c r="R171" s="202">
        <v>391.33</v>
      </c>
      <c r="S171" s="202">
        <v>0</v>
      </c>
      <c r="T171" s="202">
        <v>0</v>
      </c>
      <c r="U171" s="202">
        <v>7</v>
      </c>
      <c r="V171" s="202">
        <v>7</v>
      </c>
      <c r="W171" s="35" t="s">
        <v>2032</v>
      </c>
    </row>
    <row r="172" s="82" customFormat="1" spans="1:23">
      <c r="A172" s="35">
        <v>3</v>
      </c>
      <c r="B172" s="35"/>
      <c r="C172" s="35" t="s">
        <v>223</v>
      </c>
      <c r="D172" s="403" t="s">
        <v>2034</v>
      </c>
      <c r="E172" s="202">
        <f t="shared" si="1"/>
        <v>1621.79</v>
      </c>
      <c r="F172" s="202">
        <f t="shared" si="2"/>
        <v>470.29</v>
      </c>
      <c r="G172" s="203">
        <f t="shared" si="3"/>
        <v>1151.5</v>
      </c>
      <c r="H172" s="204">
        <v>4498</v>
      </c>
      <c r="I172" s="202">
        <v>359.84</v>
      </c>
      <c r="J172" s="202">
        <v>719.68</v>
      </c>
      <c r="K172" s="202">
        <v>4498</v>
      </c>
      <c r="L172" s="202">
        <v>9</v>
      </c>
      <c r="M172" s="202">
        <v>4498</v>
      </c>
      <c r="N172" s="202">
        <v>13.49</v>
      </c>
      <c r="O172" s="205">
        <v>31.49</v>
      </c>
      <c r="P172" s="202">
        <v>4498</v>
      </c>
      <c r="Q172" s="202">
        <v>89.96</v>
      </c>
      <c r="R172" s="202">
        <v>391.33</v>
      </c>
      <c r="S172" s="202">
        <v>0</v>
      </c>
      <c r="T172" s="202">
        <v>0</v>
      </c>
      <c r="U172" s="202">
        <v>7</v>
      </c>
      <c r="V172" s="202">
        <v>7</v>
      </c>
      <c r="W172" s="35" t="s">
        <v>2032</v>
      </c>
    </row>
    <row r="173" s="82" customFormat="1" spans="1:23">
      <c r="A173" s="35">
        <v>4</v>
      </c>
      <c r="B173" s="35"/>
      <c r="C173" s="35" t="s">
        <v>221</v>
      </c>
      <c r="D173" s="403" t="s">
        <v>2035</v>
      </c>
      <c r="E173" s="202">
        <f t="shared" si="1"/>
        <v>1621.79</v>
      </c>
      <c r="F173" s="202">
        <f t="shared" si="2"/>
        <v>470.29</v>
      </c>
      <c r="G173" s="203">
        <f t="shared" si="3"/>
        <v>1151.5</v>
      </c>
      <c r="H173" s="204">
        <v>4498</v>
      </c>
      <c r="I173" s="202">
        <v>359.84</v>
      </c>
      <c r="J173" s="202">
        <v>719.68</v>
      </c>
      <c r="K173" s="202">
        <v>4498</v>
      </c>
      <c r="L173" s="202">
        <v>9</v>
      </c>
      <c r="M173" s="202">
        <v>4498</v>
      </c>
      <c r="N173" s="202">
        <v>13.49</v>
      </c>
      <c r="O173" s="205">
        <v>31.49</v>
      </c>
      <c r="P173" s="202">
        <v>4498</v>
      </c>
      <c r="Q173" s="202">
        <v>89.96</v>
      </c>
      <c r="R173" s="202">
        <v>391.33</v>
      </c>
      <c r="S173" s="202">
        <v>0</v>
      </c>
      <c r="T173" s="202">
        <v>0</v>
      </c>
      <c r="U173" s="202">
        <v>7</v>
      </c>
      <c r="V173" s="202">
        <v>7</v>
      </c>
      <c r="W173" s="35" t="s">
        <v>2032</v>
      </c>
    </row>
    <row r="174" s="82" customFormat="1" spans="1:23">
      <c r="A174" s="35">
        <v>5</v>
      </c>
      <c r="B174" s="35"/>
      <c r="C174" s="37" t="s">
        <v>219</v>
      </c>
      <c r="D174" s="404" t="s">
        <v>2036</v>
      </c>
      <c r="E174" s="202">
        <f t="shared" si="1"/>
        <v>1621.79</v>
      </c>
      <c r="F174" s="202">
        <f t="shared" si="2"/>
        <v>470.29</v>
      </c>
      <c r="G174" s="203">
        <f t="shared" si="3"/>
        <v>1151.5</v>
      </c>
      <c r="H174" s="204">
        <v>4498</v>
      </c>
      <c r="I174" s="202">
        <v>359.84</v>
      </c>
      <c r="J174" s="202">
        <v>719.68</v>
      </c>
      <c r="K174" s="202">
        <v>4498</v>
      </c>
      <c r="L174" s="202">
        <v>9</v>
      </c>
      <c r="M174" s="202">
        <v>4498</v>
      </c>
      <c r="N174" s="202">
        <v>13.49</v>
      </c>
      <c r="O174" s="205">
        <v>31.49</v>
      </c>
      <c r="P174" s="202">
        <v>4498</v>
      </c>
      <c r="Q174" s="202">
        <v>89.96</v>
      </c>
      <c r="R174" s="202">
        <v>391.33</v>
      </c>
      <c r="S174" s="202">
        <v>0</v>
      </c>
      <c r="T174" s="202">
        <v>0</v>
      </c>
      <c r="U174" s="202">
        <v>7</v>
      </c>
      <c r="V174" s="202">
        <v>7</v>
      </c>
      <c r="W174" s="35" t="s">
        <v>2032</v>
      </c>
    </row>
    <row r="175" s="82" customFormat="1" spans="1:23">
      <c r="A175" s="35">
        <v>6</v>
      </c>
      <c r="B175" s="35"/>
      <c r="C175" s="37" t="s">
        <v>205</v>
      </c>
      <c r="D175" s="404" t="s">
        <v>2037</v>
      </c>
      <c r="E175" s="202">
        <f t="shared" si="1"/>
        <v>1621.79</v>
      </c>
      <c r="F175" s="202">
        <f t="shared" si="2"/>
        <v>470.29</v>
      </c>
      <c r="G175" s="203">
        <f t="shared" si="3"/>
        <v>1151.5</v>
      </c>
      <c r="H175" s="204">
        <v>4498</v>
      </c>
      <c r="I175" s="202">
        <v>359.84</v>
      </c>
      <c r="J175" s="202">
        <v>719.68</v>
      </c>
      <c r="K175" s="202">
        <v>4498</v>
      </c>
      <c r="L175" s="202">
        <v>9</v>
      </c>
      <c r="M175" s="202">
        <v>4498</v>
      </c>
      <c r="N175" s="202">
        <v>13.49</v>
      </c>
      <c r="O175" s="205">
        <v>31.49</v>
      </c>
      <c r="P175" s="202">
        <v>4498</v>
      </c>
      <c r="Q175" s="202">
        <v>89.96</v>
      </c>
      <c r="R175" s="202">
        <v>391.33</v>
      </c>
      <c r="S175" s="202">
        <v>0</v>
      </c>
      <c r="T175" s="202">
        <v>0</v>
      </c>
      <c r="U175" s="202">
        <v>7</v>
      </c>
      <c r="V175" s="202">
        <v>7</v>
      </c>
      <c r="W175" s="35" t="s">
        <v>2032</v>
      </c>
    </row>
    <row r="176" s="82" customFormat="1" spans="1:23">
      <c r="A176" s="35">
        <v>7</v>
      </c>
      <c r="B176" s="35"/>
      <c r="C176" s="37" t="s">
        <v>268</v>
      </c>
      <c r="D176" s="404" t="s">
        <v>2038</v>
      </c>
      <c r="E176" s="202">
        <f t="shared" si="1"/>
        <v>1621.79</v>
      </c>
      <c r="F176" s="202">
        <f t="shared" si="2"/>
        <v>470.29</v>
      </c>
      <c r="G176" s="203">
        <f t="shared" si="3"/>
        <v>1151.5</v>
      </c>
      <c r="H176" s="204">
        <v>4498</v>
      </c>
      <c r="I176" s="202">
        <v>359.84</v>
      </c>
      <c r="J176" s="202">
        <v>719.68</v>
      </c>
      <c r="K176" s="202">
        <v>4498</v>
      </c>
      <c r="L176" s="202">
        <v>9</v>
      </c>
      <c r="M176" s="202">
        <v>4498</v>
      </c>
      <c r="N176" s="202">
        <v>13.49</v>
      </c>
      <c r="O176" s="205">
        <v>31.49</v>
      </c>
      <c r="P176" s="202">
        <v>4498</v>
      </c>
      <c r="Q176" s="202">
        <v>89.96</v>
      </c>
      <c r="R176" s="202">
        <v>391.33</v>
      </c>
      <c r="S176" s="202">
        <v>0</v>
      </c>
      <c r="T176" s="202">
        <v>0</v>
      </c>
      <c r="U176" s="202">
        <v>7</v>
      </c>
      <c r="V176" s="202">
        <v>7</v>
      </c>
      <c r="W176" s="35" t="s">
        <v>2032</v>
      </c>
    </row>
    <row r="177" s="82" customFormat="1" spans="1:23">
      <c r="A177" s="35">
        <v>8</v>
      </c>
      <c r="B177" s="35"/>
      <c r="C177" s="37" t="s">
        <v>225</v>
      </c>
      <c r="D177" s="404" t="s">
        <v>2039</v>
      </c>
      <c r="E177" s="202">
        <f t="shared" si="1"/>
        <v>1621.79</v>
      </c>
      <c r="F177" s="202">
        <f t="shared" si="2"/>
        <v>470.29</v>
      </c>
      <c r="G177" s="203">
        <f t="shared" si="3"/>
        <v>1151.5</v>
      </c>
      <c r="H177" s="204">
        <v>4498</v>
      </c>
      <c r="I177" s="202">
        <v>359.84</v>
      </c>
      <c r="J177" s="202">
        <v>719.68</v>
      </c>
      <c r="K177" s="202">
        <v>4498</v>
      </c>
      <c r="L177" s="202">
        <v>9</v>
      </c>
      <c r="M177" s="202">
        <v>4498</v>
      </c>
      <c r="N177" s="202">
        <v>13.49</v>
      </c>
      <c r="O177" s="205">
        <v>31.49</v>
      </c>
      <c r="P177" s="202">
        <v>4498</v>
      </c>
      <c r="Q177" s="202">
        <v>89.96</v>
      </c>
      <c r="R177" s="202">
        <v>391.33</v>
      </c>
      <c r="S177" s="202">
        <v>0</v>
      </c>
      <c r="T177" s="202">
        <v>0</v>
      </c>
      <c r="U177" s="202">
        <v>7</v>
      </c>
      <c r="V177" s="202">
        <v>7</v>
      </c>
      <c r="W177" s="35" t="s">
        <v>2032</v>
      </c>
    </row>
    <row r="178" s="82" customFormat="1" spans="1:23">
      <c r="A178" s="35">
        <v>9</v>
      </c>
      <c r="B178" s="35"/>
      <c r="C178" s="37" t="s">
        <v>214</v>
      </c>
      <c r="D178" s="404" t="s">
        <v>2040</v>
      </c>
      <c r="E178" s="202">
        <f t="shared" si="1"/>
        <v>1621.79</v>
      </c>
      <c r="F178" s="202">
        <f t="shared" si="2"/>
        <v>470.29</v>
      </c>
      <c r="G178" s="203">
        <f t="shared" si="3"/>
        <v>1151.5</v>
      </c>
      <c r="H178" s="204">
        <v>4498</v>
      </c>
      <c r="I178" s="202">
        <v>359.84</v>
      </c>
      <c r="J178" s="202">
        <v>719.68</v>
      </c>
      <c r="K178" s="202">
        <v>4498</v>
      </c>
      <c r="L178" s="202">
        <v>9</v>
      </c>
      <c r="M178" s="202">
        <v>4498</v>
      </c>
      <c r="N178" s="202">
        <v>13.49</v>
      </c>
      <c r="O178" s="205">
        <v>31.49</v>
      </c>
      <c r="P178" s="202">
        <v>4498</v>
      </c>
      <c r="Q178" s="202">
        <v>89.96</v>
      </c>
      <c r="R178" s="202">
        <v>391.33</v>
      </c>
      <c r="S178" s="202">
        <v>0</v>
      </c>
      <c r="T178" s="202">
        <v>0</v>
      </c>
      <c r="U178" s="202">
        <v>7</v>
      </c>
      <c r="V178" s="202">
        <v>7</v>
      </c>
      <c r="W178" s="35" t="s">
        <v>2032</v>
      </c>
    </row>
    <row r="179" s="82" customFormat="1" spans="1:23">
      <c r="A179" s="35">
        <v>10</v>
      </c>
      <c r="B179" s="35"/>
      <c r="C179" s="37" t="s">
        <v>212</v>
      </c>
      <c r="D179" s="404" t="s">
        <v>2041</v>
      </c>
      <c r="E179" s="202">
        <f t="shared" si="1"/>
        <v>1621.79</v>
      </c>
      <c r="F179" s="202">
        <f t="shared" si="2"/>
        <v>470.29</v>
      </c>
      <c r="G179" s="203">
        <f t="shared" si="3"/>
        <v>1151.5</v>
      </c>
      <c r="H179" s="204">
        <v>4498</v>
      </c>
      <c r="I179" s="202">
        <v>359.84</v>
      </c>
      <c r="J179" s="202">
        <v>719.68</v>
      </c>
      <c r="K179" s="202">
        <v>4498</v>
      </c>
      <c r="L179" s="202">
        <v>9</v>
      </c>
      <c r="M179" s="202">
        <v>4498</v>
      </c>
      <c r="N179" s="202">
        <v>13.49</v>
      </c>
      <c r="O179" s="205">
        <v>31.49</v>
      </c>
      <c r="P179" s="202">
        <v>4498</v>
      </c>
      <c r="Q179" s="202">
        <v>89.96</v>
      </c>
      <c r="R179" s="202">
        <v>391.33</v>
      </c>
      <c r="S179" s="202">
        <v>0</v>
      </c>
      <c r="T179" s="202">
        <v>0</v>
      </c>
      <c r="U179" s="202">
        <v>7</v>
      </c>
      <c r="V179" s="202">
        <v>7</v>
      </c>
      <c r="W179" s="35" t="s">
        <v>2032</v>
      </c>
    </row>
    <row r="180" s="82" customFormat="1" spans="1:23">
      <c r="A180" s="35">
        <v>11</v>
      </c>
      <c r="B180" s="35"/>
      <c r="C180" s="37" t="s">
        <v>227</v>
      </c>
      <c r="D180" s="404" t="s">
        <v>2042</v>
      </c>
      <c r="E180" s="202">
        <f t="shared" si="1"/>
        <v>1621.79</v>
      </c>
      <c r="F180" s="202">
        <f t="shared" si="2"/>
        <v>470.29</v>
      </c>
      <c r="G180" s="203">
        <f t="shared" si="3"/>
        <v>1151.5</v>
      </c>
      <c r="H180" s="204">
        <v>4498</v>
      </c>
      <c r="I180" s="202">
        <v>359.84</v>
      </c>
      <c r="J180" s="202">
        <v>719.68</v>
      </c>
      <c r="K180" s="202">
        <v>4498</v>
      </c>
      <c r="L180" s="202">
        <v>9</v>
      </c>
      <c r="M180" s="202">
        <v>4498</v>
      </c>
      <c r="N180" s="202">
        <v>13.49</v>
      </c>
      <c r="O180" s="205">
        <v>31.49</v>
      </c>
      <c r="P180" s="202">
        <v>4498</v>
      </c>
      <c r="Q180" s="202">
        <v>89.96</v>
      </c>
      <c r="R180" s="202">
        <v>391.33</v>
      </c>
      <c r="S180" s="202">
        <v>0</v>
      </c>
      <c r="T180" s="202">
        <v>0</v>
      </c>
      <c r="U180" s="202">
        <v>7</v>
      </c>
      <c r="V180" s="202">
        <v>7</v>
      </c>
      <c r="W180" s="35" t="s">
        <v>2032</v>
      </c>
    </row>
    <row r="181" s="82" customFormat="1" spans="1:23">
      <c r="A181" s="35">
        <v>12</v>
      </c>
      <c r="B181" s="35"/>
      <c r="C181" s="37" t="s">
        <v>208</v>
      </c>
      <c r="D181" s="404" t="s">
        <v>2043</v>
      </c>
      <c r="E181" s="202">
        <f t="shared" si="1"/>
        <v>1621.79</v>
      </c>
      <c r="F181" s="202">
        <f t="shared" si="2"/>
        <v>470.29</v>
      </c>
      <c r="G181" s="203">
        <f t="shared" si="3"/>
        <v>1151.5</v>
      </c>
      <c r="H181" s="204">
        <v>4498</v>
      </c>
      <c r="I181" s="202">
        <v>359.84</v>
      </c>
      <c r="J181" s="202">
        <v>719.68</v>
      </c>
      <c r="K181" s="202">
        <v>4498</v>
      </c>
      <c r="L181" s="202">
        <v>9</v>
      </c>
      <c r="M181" s="202">
        <v>4498</v>
      </c>
      <c r="N181" s="202">
        <v>13.49</v>
      </c>
      <c r="O181" s="205">
        <v>31.49</v>
      </c>
      <c r="P181" s="202">
        <v>4498</v>
      </c>
      <c r="Q181" s="202">
        <v>89.96</v>
      </c>
      <c r="R181" s="202">
        <v>391.33</v>
      </c>
      <c r="S181" s="202">
        <v>0</v>
      </c>
      <c r="T181" s="202">
        <v>0</v>
      </c>
      <c r="U181" s="202">
        <v>7</v>
      </c>
      <c r="V181" s="202">
        <v>7</v>
      </c>
      <c r="W181" s="35" t="s">
        <v>2032</v>
      </c>
    </row>
    <row r="182" s="80" customFormat="1" spans="1:23">
      <c r="A182" s="35">
        <v>13</v>
      </c>
      <c r="B182" s="35"/>
      <c r="C182" s="35" t="s">
        <v>210</v>
      </c>
      <c r="D182" s="403" t="s">
        <v>2044</v>
      </c>
      <c r="E182" s="202">
        <f t="shared" si="1"/>
        <v>1630.78</v>
      </c>
      <c r="F182" s="202">
        <f t="shared" si="2"/>
        <v>470.29</v>
      </c>
      <c r="G182" s="203">
        <f t="shared" si="3"/>
        <v>1160.49</v>
      </c>
      <c r="H182" s="204">
        <v>4498</v>
      </c>
      <c r="I182" s="202">
        <v>359.84</v>
      </c>
      <c r="J182" s="202">
        <v>719.68</v>
      </c>
      <c r="K182" s="202">
        <v>4498</v>
      </c>
      <c r="L182" s="202">
        <v>17.99</v>
      </c>
      <c r="M182" s="202">
        <v>4498</v>
      </c>
      <c r="N182" s="202">
        <v>13.49</v>
      </c>
      <c r="O182" s="205">
        <v>31.49</v>
      </c>
      <c r="P182" s="202">
        <v>4498</v>
      </c>
      <c r="Q182" s="202">
        <v>89.96</v>
      </c>
      <c r="R182" s="202">
        <v>391.33</v>
      </c>
      <c r="S182" s="202">
        <v>0</v>
      </c>
      <c r="T182" s="202">
        <v>0</v>
      </c>
      <c r="U182" s="202">
        <v>7</v>
      </c>
      <c r="V182" s="202">
        <v>7</v>
      </c>
      <c r="W182" s="35" t="s">
        <v>2045</v>
      </c>
    </row>
    <row r="183" s="80" customFormat="1" spans="1:23">
      <c r="A183" s="35">
        <v>14</v>
      </c>
      <c r="B183" s="35"/>
      <c r="C183" s="35" t="s">
        <v>236</v>
      </c>
      <c r="D183" s="35" t="s">
        <v>2046</v>
      </c>
      <c r="E183" s="202">
        <f t="shared" si="1"/>
        <v>1630.78</v>
      </c>
      <c r="F183" s="202">
        <f t="shared" si="2"/>
        <v>470.29</v>
      </c>
      <c r="G183" s="203">
        <f t="shared" si="3"/>
        <v>1160.49</v>
      </c>
      <c r="H183" s="204">
        <v>4498</v>
      </c>
      <c r="I183" s="202">
        <v>359.84</v>
      </c>
      <c r="J183" s="202">
        <v>719.68</v>
      </c>
      <c r="K183" s="202">
        <v>4498</v>
      </c>
      <c r="L183" s="202">
        <v>17.99</v>
      </c>
      <c r="M183" s="202">
        <v>4498</v>
      </c>
      <c r="N183" s="202">
        <v>13.49</v>
      </c>
      <c r="O183" s="205">
        <v>31.49</v>
      </c>
      <c r="P183" s="202">
        <v>4498</v>
      </c>
      <c r="Q183" s="202">
        <v>89.96</v>
      </c>
      <c r="R183" s="202">
        <v>391.33</v>
      </c>
      <c r="S183" s="202">
        <v>0</v>
      </c>
      <c r="T183" s="202">
        <v>0</v>
      </c>
      <c r="U183" s="202">
        <v>7</v>
      </c>
      <c r="V183" s="202">
        <v>7</v>
      </c>
      <c r="W183" s="35" t="s">
        <v>2045</v>
      </c>
    </row>
    <row r="184" s="80" customFormat="1" spans="1:23">
      <c r="A184" s="35">
        <v>15</v>
      </c>
      <c r="B184" s="35"/>
      <c r="C184" s="35" t="s">
        <v>229</v>
      </c>
      <c r="D184" s="403" t="s">
        <v>2047</v>
      </c>
      <c r="E184" s="202">
        <f t="shared" si="1"/>
        <v>1630.78</v>
      </c>
      <c r="F184" s="202">
        <f t="shared" si="2"/>
        <v>470.29</v>
      </c>
      <c r="G184" s="203">
        <f t="shared" si="3"/>
        <v>1160.49</v>
      </c>
      <c r="H184" s="204">
        <v>4498</v>
      </c>
      <c r="I184" s="202">
        <v>359.84</v>
      </c>
      <c r="J184" s="202">
        <v>719.68</v>
      </c>
      <c r="K184" s="202">
        <v>4498</v>
      </c>
      <c r="L184" s="202">
        <v>17.99</v>
      </c>
      <c r="M184" s="202">
        <v>4498</v>
      </c>
      <c r="N184" s="202">
        <v>13.49</v>
      </c>
      <c r="O184" s="205">
        <v>31.49</v>
      </c>
      <c r="P184" s="202">
        <v>4498</v>
      </c>
      <c r="Q184" s="202">
        <v>89.96</v>
      </c>
      <c r="R184" s="202">
        <v>391.33</v>
      </c>
      <c r="S184" s="202">
        <v>0</v>
      </c>
      <c r="T184" s="202">
        <v>0</v>
      </c>
      <c r="U184" s="202">
        <v>7</v>
      </c>
      <c r="V184" s="202">
        <v>7</v>
      </c>
      <c r="W184" s="35" t="s">
        <v>2045</v>
      </c>
    </row>
    <row r="185" s="80" customFormat="1" spans="1:23">
      <c r="A185" s="35">
        <v>16</v>
      </c>
      <c r="B185" s="35"/>
      <c r="C185" s="37" t="s">
        <v>231</v>
      </c>
      <c r="D185" s="404" t="s">
        <v>2048</v>
      </c>
      <c r="E185" s="202">
        <f t="shared" si="1"/>
        <v>1630.78</v>
      </c>
      <c r="F185" s="202">
        <f t="shared" si="2"/>
        <v>470.29</v>
      </c>
      <c r="G185" s="203">
        <f t="shared" si="3"/>
        <v>1160.49</v>
      </c>
      <c r="H185" s="204">
        <v>4498</v>
      </c>
      <c r="I185" s="202">
        <v>359.84</v>
      </c>
      <c r="J185" s="202">
        <v>719.68</v>
      </c>
      <c r="K185" s="202">
        <v>4498</v>
      </c>
      <c r="L185" s="202">
        <v>17.99</v>
      </c>
      <c r="M185" s="202">
        <v>4498</v>
      </c>
      <c r="N185" s="202">
        <v>13.49</v>
      </c>
      <c r="O185" s="205">
        <v>31.49</v>
      </c>
      <c r="P185" s="202">
        <v>4498</v>
      </c>
      <c r="Q185" s="202">
        <v>89.96</v>
      </c>
      <c r="R185" s="202">
        <v>391.33</v>
      </c>
      <c r="S185" s="202">
        <v>0</v>
      </c>
      <c r="T185" s="202">
        <v>0</v>
      </c>
      <c r="U185" s="202">
        <v>7</v>
      </c>
      <c r="V185" s="202">
        <v>7</v>
      </c>
      <c r="W185" s="35" t="s">
        <v>2045</v>
      </c>
    </row>
    <row r="186" s="82" customFormat="1" spans="1:23">
      <c r="A186" s="35">
        <v>17</v>
      </c>
      <c r="B186" s="35"/>
      <c r="C186" s="37" t="s">
        <v>233</v>
      </c>
      <c r="D186" s="405" t="s">
        <v>2049</v>
      </c>
      <c r="E186" s="202">
        <f t="shared" si="1"/>
        <v>1630.78</v>
      </c>
      <c r="F186" s="202">
        <f t="shared" si="2"/>
        <v>470.29</v>
      </c>
      <c r="G186" s="203">
        <f t="shared" si="3"/>
        <v>1160.49</v>
      </c>
      <c r="H186" s="204">
        <v>4498</v>
      </c>
      <c r="I186" s="202">
        <v>359.84</v>
      </c>
      <c r="J186" s="202">
        <v>719.68</v>
      </c>
      <c r="K186" s="202">
        <v>4498</v>
      </c>
      <c r="L186" s="202">
        <v>17.99</v>
      </c>
      <c r="M186" s="202">
        <v>4498</v>
      </c>
      <c r="N186" s="202">
        <v>13.49</v>
      </c>
      <c r="O186" s="205">
        <v>31.49</v>
      </c>
      <c r="P186" s="202">
        <v>4498</v>
      </c>
      <c r="Q186" s="202">
        <v>89.96</v>
      </c>
      <c r="R186" s="202">
        <v>391.33</v>
      </c>
      <c r="S186" s="202">
        <v>0</v>
      </c>
      <c r="T186" s="202">
        <v>0</v>
      </c>
      <c r="U186" s="202">
        <v>7</v>
      </c>
      <c r="V186" s="202">
        <v>7</v>
      </c>
      <c r="W186" s="35" t="s">
        <v>2045</v>
      </c>
    </row>
    <row r="187" s="80" customFormat="1" spans="1:23">
      <c r="A187" s="35" t="s">
        <v>2050</v>
      </c>
      <c r="B187" s="35"/>
      <c r="C187" s="35"/>
      <c r="D187" s="35"/>
      <c r="E187" s="202">
        <f>SUM(E170:E186)</f>
        <v>27615.38</v>
      </c>
      <c r="F187" s="202">
        <f>SUM(F170:F186)</f>
        <v>7994.93</v>
      </c>
      <c r="G187" s="202">
        <f>SUM(G170:G186)</f>
        <v>19620.45</v>
      </c>
      <c r="H187" s="200" t="s">
        <v>2051</v>
      </c>
      <c r="I187" s="35"/>
      <c r="J187" s="35"/>
      <c r="K187" s="35"/>
      <c r="L187" s="35"/>
      <c r="M187" s="35"/>
      <c r="N187" s="35"/>
      <c r="O187" s="201"/>
      <c r="P187" s="196" t="s">
        <v>2052</v>
      </c>
      <c r="Q187" s="35"/>
      <c r="R187" s="35"/>
      <c r="S187" s="35"/>
      <c r="T187" s="35"/>
      <c r="U187" s="35"/>
      <c r="V187" s="35"/>
      <c r="W187" s="35"/>
    </row>
    <row r="188" s="13" customFormat="1" ht="47" customHeight="1" spans="1:23">
      <c r="A188" s="206" t="s">
        <v>2053</v>
      </c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</row>
    <row r="192" s="16" customFormat="1" ht="34" customHeight="1" spans="1:23">
      <c r="A192" s="207" t="s">
        <v>2054</v>
      </c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="83" customFormat="1" ht="28" customHeight="1" spans="1:24">
      <c r="A193" s="209" t="s">
        <v>277</v>
      </c>
      <c r="B193" s="210"/>
      <c r="C193" s="209" t="s">
        <v>1</v>
      </c>
      <c r="D193" s="209" t="s">
        <v>1967</v>
      </c>
      <c r="E193" s="211" t="s">
        <v>1723</v>
      </c>
      <c r="F193" s="210"/>
      <c r="G193" s="210"/>
      <c r="H193" s="211" t="s">
        <v>2019</v>
      </c>
      <c r="I193" s="210"/>
      <c r="J193" s="210"/>
      <c r="K193" s="211" t="s">
        <v>2022</v>
      </c>
      <c r="L193" s="210"/>
      <c r="M193" s="210"/>
      <c r="N193" s="211" t="s">
        <v>2020</v>
      </c>
      <c r="O193" s="210"/>
      <c r="P193" s="211" t="s">
        <v>2021</v>
      </c>
      <c r="Q193" s="210"/>
      <c r="R193" s="210"/>
      <c r="S193" s="211" t="s">
        <v>2023</v>
      </c>
      <c r="T193" s="210"/>
      <c r="U193" s="211" t="s">
        <v>2055</v>
      </c>
      <c r="V193" s="211" t="s">
        <v>2030</v>
      </c>
      <c r="W193" s="211" t="s">
        <v>23</v>
      </c>
    </row>
    <row r="194" s="83" customFormat="1" ht="28" customHeight="1" spans="1:24">
      <c r="A194" s="209"/>
      <c r="B194" s="209" t="s">
        <v>2018</v>
      </c>
      <c r="C194" s="209"/>
      <c r="D194" s="209"/>
      <c r="E194" s="209" t="s">
        <v>2025</v>
      </c>
      <c r="F194" s="209" t="s">
        <v>2026</v>
      </c>
      <c r="G194" s="209" t="s">
        <v>2027</v>
      </c>
      <c r="H194" s="209" t="s">
        <v>1971</v>
      </c>
      <c r="I194" s="209" t="s">
        <v>2028</v>
      </c>
      <c r="J194" s="209" t="s">
        <v>2029</v>
      </c>
      <c r="K194" s="209" t="s">
        <v>1971</v>
      </c>
      <c r="L194" s="209" t="s">
        <v>2028</v>
      </c>
      <c r="M194" s="209" t="s">
        <v>2029</v>
      </c>
      <c r="N194" s="209" t="s">
        <v>1971</v>
      </c>
      <c r="O194" s="209" t="s">
        <v>2029</v>
      </c>
      <c r="P194" s="209" t="s">
        <v>1971</v>
      </c>
      <c r="Q194" s="209" t="s">
        <v>2028</v>
      </c>
      <c r="R194" s="209" t="s">
        <v>2029</v>
      </c>
      <c r="S194" s="209" t="s">
        <v>1971</v>
      </c>
      <c r="T194" s="209" t="s">
        <v>2029</v>
      </c>
      <c r="U194" s="209" t="s">
        <v>2028</v>
      </c>
      <c r="V194" s="211"/>
      <c r="W194" s="211"/>
    </row>
    <row r="195" s="16" customFormat="1" ht="24" customHeight="1" spans="1:24">
      <c r="A195" s="48">
        <v>1</v>
      </c>
      <c r="B195" s="48"/>
      <c r="C195" s="48" t="s">
        <v>242</v>
      </c>
      <c r="D195" s="406" t="s">
        <v>2056</v>
      </c>
      <c r="E195" s="212">
        <f>F195+G195</f>
        <v>1578.81</v>
      </c>
      <c r="F195" s="212">
        <f>I195+L195+Q195+U195</f>
        <v>458.72</v>
      </c>
      <c r="G195" s="48">
        <f>J195+M195+O195+R195</f>
        <v>1120.09</v>
      </c>
      <c r="H195" s="213">
        <v>4308</v>
      </c>
      <c r="I195" s="213">
        <f>H195*0.08</f>
        <v>344.64</v>
      </c>
      <c r="J195" s="213">
        <f>H195*0.16</f>
        <v>689.28</v>
      </c>
      <c r="K195" s="213">
        <v>4308</v>
      </c>
      <c r="L195" s="213">
        <v>86.16</v>
      </c>
      <c r="M195" s="212">
        <v>374.8</v>
      </c>
      <c r="N195" s="213">
        <v>4308</v>
      </c>
      <c r="O195" s="212">
        <v>25.85</v>
      </c>
      <c r="P195" s="213">
        <v>4308</v>
      </c>
      <c r="Q195" s="212">
        <v>12.92</v>
      </c>
      <c r="R195" s="212">
        <v>30.16</v>
      </c>
      <c r="S195" s="48"/>
      <c r="T195" s="48"/>
      <c r="U195" s="48">
        <v>15</v>
      </c>
      <c r="V195" s="48" t="s">
        <v>2057</v>
      </c>
      <c r="W195" s="48"/>
    </row>
    <row r="196" s="16" customFormat="1" ht="24" customHeight="1" spans="1:24">
      <c r="A196" s="48">
        <v>2</v>
      </c>
      <c r="B196" s="48"/>
      <c r="C196" s="48" t="s">
        <v>166</v>
      </c>
      <c r="D196" s="406" t="s">
        <v>2058</v>
      </c>
      <c r="E196" s="212">
        <f>F196+G196</f>
        <v>1578.81</v>
      </c>
      <c r="F196" s="212">
        <f>I196+L196+Q196+U196</f>
        <v>458.72</v>
      </c>
      <c r="G196" s="48">
        <f>J196+M196+O196+R196</f>
        <v>1120.09</v>
      </c>
      <c r="H196" s="213">
        <v>4308</v>
      </c>
      <c r="I196" s="213">
        <f>H196*0.08</f>
        <v>344.64</v>
      </c>
      <c r="J196" s="213">
        <f>H196*0.16</f>
        <v>689.28</v>
      </c>
      <c r="K196" s="213">
        <v>4308</v>
      </c>
      <c r="L196" s="213">
        <v>86.16</v>
      </c>
      <c r="M196" s="212">
        <v>374.8</v>
      </c>
      <c r="N196" s="213">
        <v>4308</v>
      </c>
      <c r="O196" s="212">
        <v>25.85</v>
      </c>
      <c r="P196" s="213">
        <v>4308</v>
      </c>
      <c r="Q196" s="212">
        <v>12.92</v>
      </c>
      <c r="R196" s="212">
        <v>30.16</v>
      </c>
      <c r="S196" s="48"/>
      <c r="T196" s="48"/>
      <c r="U196" s="48">
        <v>15</v>
      </c>
      <c r="V196" s="48" t="s">
        <v>2057</v>
      </c>
      <c r="W196" s="48"/>
    </row>
    <row r="197" s="16" customFormat="1" ht="24" customHeight="1" spans="1:24">
      <c r="A197" s="48">
        <v>3</v>
      </c>
      <c r="B197" s="48"/>
      <c r="C197" s="48" t="s">
        <v>245</v>
      </c>
      <c r="D197" s="406" t="s">
        <v>2059</v>
      </c>
      <c r="E197" s="212">
        <f>F197+G197</f>
        <v>1578.81</v>
      </c>
      <c r="F197" s="212">
        <f>I197+L197+Q197+U197</f>
        <v>458.72</v>
      </c>
      <c r="G197" s="48">
        <f>J197+M197+O197+R197</f>
        <v>1120.09</v>
      </c>
      <c r="H197" s="213">
        <v>4308</v>
      </c>
      <c r="I197" s="213">
        <f>H197*0.08</f>
        <v>344.64</v>
      </c>
      <c r="J197" s="213">
        <f>H197*0.16</f>
        <v>689.28</v>
      </c>
      <c r="K197" s="213">
        <v>4308</v>
      </c>
      <c r="L197" s="213">
        <v>86.16</v>
      </c>
      <c r="M197" s="212">
        <v>374.8</v>
      </c>
      <c r="N197" s="213">
        <v>4308</v>
      </c>
      <c r="O197" s="212">
        <v>25.85</v>
      </c>
      <c r="P197" s="213">
        <v>4308</v>
      </c>
      <c r="Q197" s="212">
        <v>12.92</v>
      </c>
      <c r="R197" s="212">
        <v>30.16</v>
      </c>
      <c r="S197" s="48"/>
      <c r="T197" s="48"/>
      <c r="U197" s="48">
        <v>15</v>
      </c>
      <c r="V197" s="48" t="s">
        <v>2057</v>
      </c>
      <c r="W197" s="214"/>
    </row>
    <row r="198" s="16" customFormat="1" ht="23" customHeight="1" spans="1:24">
      <c r="A198" s="215" t="s">
        <v>2050</v>
      </c>
      <c r="B198" s="215"/>
      <c r="C198" s="215"/>
      <c r="D198" s="215"/>
      <c r="E198" s="216">
        <f>SUM(E195:E197)</f>
        <v>4736.43</v>
      </c>
      <c r="F198" s="216">
        <f>SUM(F195:F197)</f>
        <v>1376.16</v>
      </c>
      <c r="G198" s="215">
        <f>SUM(G195:G197)</f>
        <v>3360.27</v>
      </c>
      <c r="H198" s="215"/>
      <c r="I198" s="215">
        <f>SUM(I195:I197)</f>
        <v>1033.92</v>
      </c>
      <c r="J198" s="215">
        <f>SUM(J195:J197)</f>
        <v>2067.84</v>
      </c>
      <c r="K198" s="215"/>
      <c r="L198" s="215">
        <f>SUM(L195:L197)</f>
        <v>258.48</v>
      </c>
      <c r="M198" s="216">
        <f>SUM(M195:M197)</f>
        <v>1124.4</v>
      </c>
      <c r="N198" s="215"/>
      <c r="O198" s="216">
        <f>SUM(O195:O197)</f>
        <v>77.55</v>
      </c>
      <c r="P198" s="215"/>
      <c r="Q198" s="216">
        <f>SUM(Q195:Q197)</f>
        <v>38.76</v>
      </c>
      <c r="R198" s="216">
        <f>SUM(R195:R197)</f>
        <v>90.48</v>
      </c>
      <c r="S198" s="215">
        <f>SUM(S195:S197)</f>
        <v>0</v>
      </c>
      <c r="T198" s="215">
        <f>SUM(T195:T197)</f>
        <v>0</v>
      </c>
      <c r="U198" s="215">
        <f>SUM(U195:U197)</f>
        <v>45</v>
      </c>
      <c r="V198" s="217"/>
      <c r="W198" s="217"/>
    </row>
    <row r="202" s="84" customFormat="1" ht="30" customHeight="1" spans="1:24">
      <c r="B202" s="218" t="s">
        <v>2060</v>
      </c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</row>
    <row r="203" s="84" customFormat="1" ht="12.75"/>
    <row r="204" s="84" customFormat="1" ht="22.5" spans="1:24">
      <c r="A204" s="219" t="s">
        <v>2061</v>
      </c>
      <c r="B204" s="219"/>
      <c r="C204" s="220" t="s">
        <v>2062</v>
      </c>
      <c r="D204" s="220"/>
      <c r="E204" s="221"/>
      <c r="F204" s="222" t="s">
        <v>2063</v>
      </c>
      <c r="G204" s="223" t="s">
        <v>2064</v>
      </c>
      <c r="H204" s="220"/>
      <c r="I204" s="221"/>
    </row>
    <row r="205" s="84" customFormat="1" ht="22.5" spans="1:24">
      <c r="A205" s="219" t="s">
        <v>2065</v>
      </c>
      <c r="B205" s="219"/>
      <c r="C205" s="220" t="s">
        <v>2066</v>
      </c>
      <c r="D205" s="220"/>
      <c r="E205" s="221"/>
      <c r="F205" s="222" t="s">
        <v>2067</v>
      </c>
      <c r="G205" s="223" t="s">
        <v>2068</v>
      </c>
      <c r="H205" s="220"/>
      <c r="I205" s="221"/>
    </row>
    <row r="206" s="84" customFormat="1" ht="22.5" spans="1:24">
      <c r="A206" s="219" t="s">
        <v>2069</v>
      </c>
      <c r="B206" s="219"/>
      <c r="C206" s="220" t="s">
        <v>2070</v>
      </c>
      <c r="D206" s="220"/>
      <c r="E206" s="221"/>
      <c r="F206" s="222" t="s">
        <v>2071</v>
      </c>
      <c r="G206" s="223" t="s">
        <v>2072</v>
      </c>
      <c r="H206" s="220"/>
      <c r="I206" s="221"/>
    </row>
    <row r="207" s="84" customFormat="1" ht="12.75" spans="1:24">
      <c r="B207" s="224" t="s">
        <v>2073</v>
      </c>
      <c r="C207" s="224"/>
      <c r="D207" s="224"/>
      <c r="E207" s="224"/>
      <c r="F207" s="224"/>
      <c r="G207" s="224"/>
      <c r="H207" s="224"/>
      <c r="I207" s="224"/>
    </row>
    <row r="208" s="84" customFormat="1" ht="12.75" spans="1:24">
      <c r="A208" s="225" t="s">
        <v>277</v>
      </c>
      <c r="B208" s="225" t="s">
        <v>1</v>
      </c>
      <c r="C208" s="225" t="s">
        <v>1741</v>
      </c>
      <c r="D208" s="225" t="s">
        <v>2074</v>
      </c>
      <c r="E208" s="225" t="s">
        <v>2075</v>
      </c>
      <c r="F208" s="225" t="s">
        <v>1742</v>
      </c>
      <c r="G208" s="225" t="s">
        <v>1743</v>
      </c>
      <c r="H208" s="219" t="s">
        <v>2076</v>
      </c>
      <c r="I208" s="219"/>
      <c r="J208" s="219" t="s">
        <v>2077</v>
      </c>
      <c r="K208" s="219"/>
      <c r="L208" s="219" t="s">
        <v>2078</v>
      </c>
      <c r="M208" s="219"/>
      <c r="N208" s="219" t="s">
        <v>2079</v>
      </c>
      <c r="O208" s="219"/>
      <c r="P208" s="219" t="s">
        <v>2080</v>
      </c>
      <c r="Q208" s="219"/>
      <c r="R208" s="219" t="s">
        <v>2081</v>
      </c>
      <c r="S208" s="219"/>
      <c r="T208" s="219" t="s">
        <v>2020</v>
      </c>
      <c r="U208" s="219"/>
      <c r="V208" s="219" t="s">
        <v>2082</v>
      </c>
      <c r="W208" s="219" t="s">
        <v>2083</v>
      </c>
      <c r="X208" s="219" t="s">
        <v>2084</v>
      </c>
    </row>
    <row r="209" s="84" customFormat="1" ht="12.75" spans="1:24">
      <c r="A209" s="226"/>
      <c r="B209" s="226"/>
      <c r="C209" s="226"/>
      <c r="D209" s="226"/>
      <c r="E209" s="226"/>
      <c r="F209" s="226"/>
      <c r="G209" s="226"/>
      <c r="H209" s="219" t="s">
        <v>1971</v>
      </c>
      <c r="I209" s="219" t="s">
        <v>2085</v>
      </c>
      <c r="J209" s="219" t="s">
        <v>1971</v>
      </c>
      <c r="K209" s="219" t="s">
        <v>2085</v>
      </c>
      <c r="L209" s="219" t="s">
        <v>1971</v>
      </c>
      <c r="M209" s="219" t="s">
        <v>2085</v>
      </c>
      <c r="N209" s="219" t="s">
        <v>1971</v>
      </c>
      <c r="O209" s="219" t="s">
        <v>2085</v>
      </c>
      <c r="P209" s="219" t="s">
        <v>1971</v>
      </c>
      <c r="Q209" s="219" t="s">
        <v>2085</v>
      </c>
      <c r="R209" s="219" t="s">
        <v>1971</v>
      </c>
      <c r="S209" s="219" t="s">
        <v>2085</v>
      </c>
      <c r="T209" s="219" t="s">
        <v>1971</v>
      </c>
      <c r="U209" s="219" t="s">
        <v>2085</v>
      </c>
      <c r="V209" s="219"/>
      <c r="W209" s="219"/>
      <c r="X209" s="219"/>
    </row>
    <row r="210" s="84" customFormat="1" spans="1:24">
      <c r="A210" s="219">
        <v>1</v>
      </c>
      <c r="B210" s="227" t="s">
        <v>162</v>
      </c>
      <c r="C210" s="227" t="s">
        <v>2086</v>
      </c>
      <c r="D210" s="227" t="s">
        <v>2087</v>
      </c>
      <c r="E210" s="227" t="s">
        <v>2088</v>
      </c>
      <c r="F210" s="227" t="s">
        <v>1750</v>
      </c>
      <c r="G210" s="227" t="s">
        <v>1750</v>
      </c>
      <c r="H210" s="227" t="s">
        <v>2089</v>
      </c>
      <c r="I210" s="227" t="s">
        <v>1755</v>
      </c>
      <c r="J210" s="227" t="s">
        <v>2089</v>
      </c>
      <c r="K210" s="227" t="s">
        <v>1757</v>
      </c>
      <c r="L210" s="227" t="s">
        <v>2089</v>
      </c>
      <c r="M210" s="227" t="s">
        <v>2090</v>
      </c>
      <c r="N210" s="227" t="s">
        <v>2089</v>
      </c>
      <c r="O210" s="227" t="s">
        <v>2091</v>
      </c>
      <c r="P210" s="227" t="s">
        <v>2089</v>
      </c>
      <c r="Q210" s="227" t="s">
        <v>2092</v>
      </c>
      <c r="R210" s="227" t="s">
        <v>2089</v>
      </c>
      <c r="S210" s="227" t="s">
        <v>2093</v>
      </c>
      <c r="T210" s="227" t="s">
        <v>2089</v>
      </c>
      <c r="U210" s="227" t="s">
        <v>2094</v>
      </c>
      <c r="V210" s="227" t="s">
        <v>2095</v>
      </c>
      <c r="W210" s="228">
        <v>415.43</v>
      </c>
      <c r="X210" s="227" t="s">
        <v>2096</v>
      </c>
    </row>
    <row r="211" s="84" customFormat="1" spans="1:24">
      <c r="A211" s="219">
        <v>2</v>
      </c>
      <c r="B211" s="227" t="s">
        <v>164</v>
      </c>
      <c r="C211" s="227" t="s">
        <v>2097</v>
      </c>
      <c r="D211" s="227" t="s">
        <v>2087</v>
      </c>
      <c r="E211" s="227" t="s">
        <v>2098</v>
      </c>
      <c r="F211" s="227" t="s">
        <v>1750</v>
      </c>
      <c r="G211" s="227" t="s">
        <v>1750</v>
      </c>
      <c r="H211" s="227" t="s">
        <v>2089</v>
      </c>
      <c r="I211" s="227" t="s">
        <v>1755</v>
      </c>
      <c r="J211" s="227" t="s">
        <v>2089</v>
      </c>
      <c r="K211" s="227" t="s">
        <v>1757</v>
      </c>
      <c r="L211" s="227" t="s">
        <v>2089</v>
      </c>
      <c r="M211" s="227" t="s">
        <v>2090</v>
      </c>
      <c r="N211" s="227" t="s">
        <v>2089</v>
      </c>
      <c r="O211" s="227" t="s">
        <v>2091</v>
      </c>
      <c r="P211" s="227" t="s">
        <v>2089</v>
      </c>
      <c r="Q211" s="227" t="s">
        <v>2092</v>
      </c>
      <c r="R211" s="227" t="s">
        <v>2089</v>
      </c>
      <c r="S211" s="227" t="s">
        <v>2093</v>
      </c>
      <c r="T211" s="227" t="s">
        <v>2089</v>
      </c>
      <c r="U211" s="227" t="s">
        <v>2094</v>
      </c>
      <c r="V211" s="227" t="s">
        <v>2095</v>
      </c>
      <c r="W211" s="228">
        <v>415.43</v>
      </c>
      <c r="X211" s="227" t="s">
        <v>2096</v>
      </c>
    </row>
    <row r="215" s="84" customFormat="1" ht="30" customHeight="1" spans="1:24">
      <c r="B215" s="218" t="s">
        <v>2060</v>
      </c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</row>
    <row r="216" s="84" customFormat="1" ht="12.75"/>
    <row r="217" s="84" customFormat="1" ht="22.5" spans="1:24">
      <c r="A217" s="219" t="s">
        <v>2061</v>
      </c>
      <c r="B217" s="219"/>
      <c r="C217" s="220" t="s">
        <v>2099</v>
      </c>
      <c r="D217" s="220"/>
      <c r="E217" s="221"/>
      <c r="F217" s="222" t="s">
        <v>2063</v>
      </c>
      <c r="G217" s="223" t="s">
        <v>2100</v>
      </c>
      <c r="H217" s="220"/>
      <c r="I217" s="221"/>
    </row>
    <row r="218" s="84" customFormat="1" ht="22.5" spans="1:24">
      <c r="A218" s="219" t="s">
        <v>2065</v>
      </c>
      <c r="B218" s="219"/>
      <c r="C218" s="220" t="s">
        <v>2101</v>
      </c>
      <c r="D218" s="220"/>
      <c r="E218" s="221"/>
      <c r="F218" s="222" t="s">
        <v>2067</v>
      </c>
      <c r="G218" s="223" t="s">
        <v>2102</v>
      </c>
      <c r="H218" s="220"/>
      <c r="I218" s="221"/>
    </row>
    <row r="219" s="84" customFormat="1" ht="22.5" spans="1:24">
      <c r="A219" s="219" t="s">
        <v>2069</v>
      </c>
      <c r="B219" s="219"/>
      <c r="C219" s="220" t="s">
        <v>2103</v>
      </c>
      <c r="D219" s="220"/>
      <c r="E219" s="221"/>
      <c r="F219" s="222" t="s">
        <v>2071</v>
      </c>
      <c r="G219" s="223" t="s">
        <v>2072</v>
      </c>
      <c r="H219" s="220"/>
      <c r="I219" s="221"/>
    </row>
    <row r="220" s="84" customFormat="1" ht="12.75" spans="1:24">
      <c r="B220" s="224" t="s">
        <v>2073</v>
      </c>
      <c r="C220" s="224"/>
      <c r="D220" s="224"/>
      <c r="E220" s="224"/>
      <c r="F220" s="224"/>
      <c r="G220" s="224"/>
      <c r="H220" s="224"/>
      <c r="I220" s="224"/>
    </row>
    <row r="221" s="84" customFormat="1" ht="12.75" spans="1:24">
      <c r="A221" s="225" t="s">
        <v>277</v>
      </c>
      <c r="B221" s="225" t="s">
        <v>1</v>
      </c>
      <c r="C221" s="225" t="s">
        <v>1741</v>
      </c>
      <c r="D221" s="225" t="s">
        <v>2074</v>
      </c>
      <c r="E221" s="225" t="s">
        <v>2075</v>
      </c>
      <c r="F221" s="225" t="s">
        <v>1742</v>
      </c>
      <c r="G221" s="225" t="s">
        <v>1743</v>
      </c>
      <c r="H221" s="219" t="s">
        <v>2104</v>
      </c>
      <c r="I221" s="219"/>
      <c r="J221" s="219" t="s">
        <v>2105</v>
      </c>
      <c r="K221" s="219"/>
      <c r="L221" s="219" t="s">
        <v>2078</v>
      </c>
      <c r="M221" s="219"/>
      <c r="N221" s="219" t="s">
        <v>2079</v>
      </c>
      <c r="O221" s="219"/>
      <c r="P221" s="219" t="s">
        <v>2106</v>
      </c>
      <c r="Q221" s="219"/>
      <c r="R221" s="219" t="s">
        <v>2107</v>
      </c>
      <c r="S221" s="219"/>
      <c r="T221" s="219" t="s">
        <v>2020</v>
      </c>
      <c r="U221" s="219"/>
      <c r="V221" s="219" t="s">
        <v>2082</v>
      </c>
      <c r="W221" s="219" t="s">
        <v>2083</v>
      </c>
      <c r="X221" s="219" t="s">
        <v>2084</v>
      </c>
    </row>
    <row r="222" s="84" customFormat="1" ht="12.75" spans="1:24">
      <c r="A222" s="226"/>
      <c r="B222" s="226"/>
      <c r="C222" s="226"/>
      <c r="D222" s="226"/>
      <c r="E222" s="226"/>
      <c r="F222" s="226"/>
      <c r="G222" s="226"/>
      <c r="H222" s="219" t="s">
        <v>1971</v>
      </c>
      <c r="I222" s="219" t="s">
        <v>2085</v>
      </c>
      <c r="J222" s="219" t="s">
        <v>1971</v>
      </c>
      <c r="K222" s="219" t="s">
        <v>2085</v>
      </c>
      <c r="L222" s="219" t="s">
        <v>1971</v>
      </c>
      <c r="M222" s="219" t="s">
        <v>2085</v>
      </c>
      <c r="N222" s="219" t="s">
        <v>1971</v>
      </c>
      <c r="O222" s="219" t="s">
        <v>2085</v>
      </c>
      <c r="P222" s="219" t="s">
        <v>1971</v>
      </c>
      <c r="Q222" s="219" t="s">
        <v>2085</v>
      </c>
      <c r="R222" s="219" t="s">
        <v>1971</v>
      </c>
      <c r="S222" s="219" t="s">
        <v>2085</v>
      </c>
      <c r="T222" s="219" t="s">
        <v>1971</v>
      </c>
      <c r="U222" s="219" t="s">
        <v>2085</v>
      </c>
      <c r="V222" s="219"/>
      <c r="W222" s="219"/>
      <c r="X222" s="219"/>
    </row>
    <row r="223" s="84" customFormat="1" spans="1:24">
      <c r="A223" s="219">
        <v>1</v>
      </c>
      <c r="B223" s="227" t="s">
        <v>274</v>
      </c>
      <c r="C223" s="227" t="s">
        <v>2108</v>
      </c>
      <c r="D223" s="227" t="s">
        <v>2087</v>
      </c>
      <c r="E223" s="227" t="s">
        <v>2109</v>
      </c>
      <c r="F223" s="227" t="s">
        <v>1750</v>
      </c>
      <c r="G223" s="227" t="s">
        <v>1750</v>
      </c>
      <c r="H223" s="227" t="s">
        <v>2110</v>
      </c>
      <c r="I223" s="227" t="s">
        <v>2111</v>
      </c>
      <c r="J223" s="227" t="s">
        <v>2110</v>
      </c>
      <c r="K223" s="227" t="s">
        <v>2112</v>
      </c>
      <c r="L223" s="227" t="s">
        <v>2113</v>
      </c>
      <c r="M223" s="227" t="s">
        <v>2114</v>
      </c>
      <c r="N223" s="227" t="s">
        <v>2113</v>
      </c>
      <c r="O223" s="227" t="s">
        <v>2115</v>
      </c>
      <c r="P223" s="227" t="s">
        <v>2116</v>
      </c>
      <c r="Q223" s="227" t="s">
        <v>2117</v>
      </c>
      <c r="R223" s="227" t="s">
        <v>2116</v>
      </c>
      <c r="S223" s="227" t="s">
        <v>2118</v>
      </c>
      <c r="T223" s="227" t="s">
        <v>2113</v>
      </c>
      <c r="U223" s="227" t="s">
        <v>2115</v>
      </c>
      <c r="V223" s="227" t="s">
        <v>2119</v>
      </c>
      <c r="W223" s="228">
        <v>570.48</v>
      </c>
      <c r="X223" s="227" t="s">
        <v>2120</v>
      </c>
    </row>
    <row r="224" s="84" customFormat="1" spans="1:24">
      <c r="A224" s="219">
        <v>2</v>
      </c>
      <c r="B224" s="227" t="s">
        <v>271</v>
      </c>
      <c r="C224" s="227" t="s">
        <v>2121</v>
      </c>
      <c r="D224" s="227" t="s">
        <v>2087</v>
      </c>
      <c r="E224" s="227" t="s">
        <v>2122</v>
      </c>
      <c r="F224" s="227" t="s">
        <v>1750</v>
      </c>
      <c r="G224" s="227" t="s">
        <v>1750</v>
      </c>
      <c r="H224" s="227" t="s">
        <v>2110</v>
      </c>
      <c r="I224" s="227" t="s">
        <v>2111</v>
      </c>
      <c r="J224" s="227" t="s">
        <v>2110</v>
      </c>
      <c r="K224" s="227" t="s">
        <v>2112</v>
      </c>
      <c r="L224" s="227" t="s">
        <v>2113</v>
      </c>
      <c r="M224" s="227" t="s">
        <v>2114</v>
      </c>
      <c r="N224" s="227" t="s">
        <v>2113</v>
      </c>
      <c r="O224" s="227" t="s">
        <v>2115</v>
      </c>
      <c r="P224" s="227" t="s">
        <v>2116</v>
      </c>
      <c r="Q224" s="227" t="s">
        <v>2117</v>
      </c>
      <c r="R224" s="227" t="s">
        <v>2116</v>
      </c>
      <c r="S224" s="227" t="s">
        <v>2118</v>
      </c>
      <c r="T224" s="227" t="s">
        <v>2113</v>
      </c>
      <c r="U224" s="227" t="s">
        <v>2115</v>
      </c>
      <c r="V224" s="227" t="s">
        <v>2119</v>
      </c>
      <c r="W224" s="228">
        <v>570.48</v>
      </c>
      <c r="X224" s="227" t="s">
        <v>2120</v>
      </c>
    </row>
    <row r="225" s="84" customFormat="1" spans="1:24">
      <c r="A225" s="219">
        <v>3</v>
      </c>
      <c r="B225" s="227" t="s">
        <v>276</v>
      </c>
      <c r="C225" s="227" t="s">
        <v>2123</v>
      </c>
      <c r="D225" s="227" t="s">
        <v>2087</v>
      </c>
      <c r="E225" s="227" t="s">
        <v>2124</v>
      </c>
      <c r="F225" s="227" t="s">
        <v>1750</v>
      </c>
      <c r="G225" s="227" t="s">
        <v>1750</v>
      </c>
      <c r="H225" s="227" t="s">
        <v>2110</v>
      </c>
      <c r="I225" s="227" t="s">
        <v>2111</v>
      </c>
      <c r="J225" s="227" t="s">
        <v>2110</v>
      </c>
      <c r="K225" s="227" t="s">
        <v>2112</v>
      </c>
      <c r="L225" s="227" t="s">
        <v>2113</v>
      </c>
      <c r="M225" s="227" t="s">
        <v>2114</v>
      </c>
      <c r="N225" s="227" t="s">
        <v>2113</v>
      </c>
      <c r="O225" s="227" t="s">
        <v>2115</v>
      </c>
      <c r="P225" s="227" t="s">
        <v>2116</v>
      </c>
      <c r="Q225" s="227" t="s">
        <v>2117</v>
      </c>
      <c r="R225" s="227" t="s">
        <v>2116</v>
      </c>
      <c r="S225" s="227" t="s">
        <v>2118</v>
      </c>
      <c r="T225" s="227" t="s">
        <v>2113</v>
      </c>
      <c r="U225" s="227" t="s">
        <v>2115</v>
      </c>
      <c r="V225" s="227" t="s">
        <v>2119</v>
      </c>
      <c r="W225" s="228">
        <v>570.48</v>
      </c>
      <c r="X225" s="227" t="s">
        <v>2120</v>
      </c>
    </row>
  </sheetData>
  <mergeCells count="206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16:B1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28:B28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51:B51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AJ70:AK70"/>
    <mergeCell ref="AL70:AM70"/>
    <mergeCell ref="A72:B72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AL108:AM108"/>
    <mergeCell ref="A110:B110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AJ136:AK136"/>
    <mergeCell ref="AL136:AM136"/>
    <mergeCell ref="A138:B138"/>
    <mergeCell ref="A155:P155"/>
    <mergeCell ref="B156:C156"/>
    <mergeCell ref="E156:I156"/>
    <mergeCell ref="M156:N156"/>
    <mergeCell ref="A163:D163"/>
    <mergeCell ref="E163:I163"/>
    <mergeCell ref="A167:W167"/>
    <mergeCell ref="E168:G168"/>
    <mergeCell ref="H168:J168"/>
    <mergeCell ref="K168:L168"/>
    <mergeCell ref="M168:O168"/>
    <mergeCell ref="P168:R168"/>
    <mergeCell ref="S168:T168"/>
    <mergeCell ref="U168:V168"/>
    <mergeCell ref="Z168:AB168"/>
    <mergeCell ref="AC168:AE168"/>
    <mergeCell ref="A187:D187"/>
    <mergeCell ref="H187:O187"/>
    <mergeCell ref="P187:V187"/>
    <mergeCell ref="A188:W188"/>
    <mergeCell ref="A192:W192"/>
    <mergeCell ref="E193:G193"/>
    <mergeCell ref="H193:J193"/>
    <mergeCell ref="K193:M193"/>
    <mergeCell ref="N193:O193"/>
    <mergeCell ref="P193:R193"/>
    <mergeCell ref="S193:T193"/>
    <mergeCell ref="X193:Z193"/>
    <mergeCell ref="AA193:AC193"/>
    <mergeCell ref="B202:R202"/>
    <mergeCell ref="A204:B204"/>
    <mergeCell ref="C204:E204"/>
    <mergeCell ref="G204:I204"/>
    <mergeCell ref="A205:B205"/>
    <mergeCell ref="C205:E205"/>
    <mergeCell ref="G205:I205"/>
    <mergeCell ref="A206:B206"/>
    <mergeCell ref="C206:E206"/>
    <mergeCell ref="G206:I206"/>
    <mergeCell ref="B207:I207"/>
    <mergeCell ref="H208:I208"/>
    <mergeCell ref="J208:K208"/>
    <mergeCell ref="L208:M208"/>
    <mergeCell ref="N208:O208"/>
    <mergeCell ref="P208:Q208"/>
    <mergeCell ref="R208:S208"/>
    <mergeCell ref="T208:U208"/>
    <mergeCell ref="B215:R215"/>
    <mergeCell ref="A217:B217"/>
    <mergeCell ref="C217:E217"/>
    <mergeCell ref="G217:I217"/>
    <mergeCell ref="A218:B218"/>
    <mergeCell ref="C218:E218"/>
    <mergeCell ref="G218:I218"/>
    <mergeCell ref="A219:B219"/>
    <mergeCell ref="C219:E219"/>
    <mergeCell ref="G219:I219"/>
    <mergeCell ref="B220:I220"/>
    <mergeCell ref="H221:I221"/>
    <mergeCell ref="J221:K221"/>
    <mergeCell ref="L221:M221"/>
    <mergeCell ref="N221:O221"/>
    <mergeCell ref="P221:Q221"/>
    <mergeCell ref="R221:S221"/>
    <mergeCell ref="T221:U221"/>
    <mergeCell ref="A168:A169"/>
    <mergeCell ref="A193:A194"/>
    <mergeCell ref="A208:A209"/>
    <mergeCell ref="A221:A222"/>
    <mergeCell ref="B168:B169"/>
    <mergeCell ref="B208:B209"/>
    <mergeCell ref="B221:B222"/>
    <mergeCell ref="C168:C169"/>
    <mergeCell ref="C193:C194"/>
    <mergeCell ref="C208:C209"/>
    <mergeCell ref="C221:C222"/>
    <mergeCell ref="D168:D169"/>
    <mergeCell ref="D193:D194"/>
    <mergeCell ref="D208:D209"/>
    <mergeCell ref="D221:D222"/>
    <mergeCell ref="E208:E209"/>
    <mergeCell ref="E221:E222"/>
    <mergeCell ref="F208:F209"/>
    <mergeCell ref="F221:F222"/>
    <mergeCell ref="G208:G209"/>
    <mergeCell ref="G221:G222"/>
    <mergeCell ref="V193:V194"/>
    <mergeCell ref="V208:V209"/>
    <mergeCell ref="V221:V222"/>
    <mergeCell ref="W193:W194"/>
    <mergeCell ref="W208:W209"/>
    <mergeCell ref="W221:W222"/>
    <mergeCell ref="X208:X209"/>
    <mergeCell ref="X221:X22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2"/>
  <sheetViews>
    <sheetView workbookViewId="0">
      <selection activeCell="D42" sqref="D42"/>
    </sheetView>
  </sheetViews>
  <sheetFormatPr defaultColWidth="9" defaultRowHeight="12"/>
  <cols>
    <col min="1" max="1" width="8" style="12" customWidth="1"/>
    <col min="2" max="2" width="23.8666666666667" style="12" customWidth="1"/>
    <col min="3" max="4" width="17.25" style="12" customWidth="1"/>
    <col min="5" max="5" width="16" style="12" customWidth="1"/>
    <col min="6" max="6" width="7.63333333333333" style="12" customWidth="1"/>
    <col min="7" max="7" width="17.8666666666667" style="12" customWidth="1"/>
    <col min="8" max="8" width="7.63333333333333" style="12" customWidth="1"/>
    <col min="9" max="10" width="12.1333333333333" style="12" customWidth="1"/>
    <col min="11" max="16384" width="9" style="12"/>
  </cols>
  <sheetData>
    <row r="1" s="12" customFormat="1" spans="1:17">
      <c r="A1" s="19" t="s">
        <v>2125</v>
      </c>
      <c r="B1" s="20"/>
      <c r="C1" s="20"/>
      <c r="D1" s="20"/>
      <c r="E1" s="20"/>
      <c r="F1" s="20"/>
      <c r="G1" s="20"/>
      <c r="H1" s="20"/>
      <c r="I1" s="20"/>
    </row>
    <row r="2" s="12" customFormat="1" spans="1:17">
      <c r="A2" s="19" t="s">
        <v>2126</v>
      </c>
      <c r="B2" s="20"/>
      <c r="C2" s="20"/>
      <c r="D2" s="20"/>
      <c r="E2" s="20"/>
      <c r="F2" s="20"/>
      <c r="G2" s="20"/>
      <c r="H2" s="20"/>
      <c r="I2" s="20"/>
    </row>
    <row r="3" s="12" customFormat="1" ht="24" spans="1:17">
      <c r="A3" s="21" t="s">
        <v>1</v>
      </c>
      <c r="B3" s="21" t="s">
        <v>1741</v>
      </c>
      <c r="C3" s="21" t="s">
        <v>2127</v>
      </c>
      <c r="D3" s="21" t="s">
        <v>2128</v>
      </c>
      <c r="E3" s="21" t="s">
        <v>2129</v>
      </c>
      <c r="F3" s="21" t="s">
        <v>2130</v>
      </c>
      <c r="G3" s="21" t="s">
        <v>2131</v>
      </c>
      <c r="H3" s="21" t="s">
        <v>2132</v>
      </c>
      <c r="I3" s="19" t="s">
        <v>1978</v>
      </c>
      <c r="P3" s="21" t="s">
        <v>1</v>
      </c>
      <c r="Q3" s="19" t="s">
        <v>1978</v>
      </c>
    </row>
    <row r="4" s="12" customFormat="1" spans="1:17">
      <c r="A4" s="22" t="s">
        <v>253</v>
      </c>
      <c r="B4" s="22" t="s">
        <v>1769</v>
      </c>
      <c r="C4" s="22" t="s">
        <v>2133</v>
      </c>
      <c r="D4" s="22" t="s">
        <v>2134</v>
      </c>
      <c r="E4" s="22" t="s">
        <v>2135</v>
      </c>
      <c r="F4" s="22" t="s">
        <v>2136</v>
      </c>
      <c r="G4" s="22" t="s">
        <v>2136</v>
      </c>
      <c r="H4" s="22" t="s">
        <v>2137</v>
      </c>
      <c r="I4" s="22">
        <v>500</v>
      </c>
      <c r="P4" s="22" t="s">
        <v>253</v>
      </c>
      <c r="Q4" s="22">
        <v>500</v>
      </c>
    </row>
    <row r="5" s="12" customFormat="1" spans="1:17">
      <c r="A5" s="22" t="s">
        <v>80</v>
      </c>
      <c r="B5" s="22" t="s">
        <v>1749</v>
      </c>
      <c r="C5" s="22" t="s">
        <v>2138</v>
      </c>
      <c r="D5" s="22" t="s">
        <v>2134</v>
      </c>
      <c r="E5" s="22" t="s">
        <v>2139</v>
      </c>
      <c r="F5" s="22" t="s">
        <v>2136</v>
      </c>
      <c r="G5" s="22" t="s">
        <v>2136</v>
      </c>
      <c r="H5" s="22" t="s">
        <v>1715</v>
      </c>
      <c r="I5" s="22">
        <v>118</v>
      </c>
      <c r="P5" s="22" t="s">
        <v>80</v>
      </c>
      <c r="Q5" s="22">
        <v>118</v>
      </c>
    </row>
    <row r="6" s="12" customFormat="1" spans="1:17">
      <c r="A6" s="12" t="s">
        <v>1799</v>
      </c>
    </row>
    <row r="8" s="12" customFormat="1" spans="1:17">
      <c r="A8" s="19" t="s">
        <v>2140</v>
      </c>
      <c r="B8" s="20"/>
      <c r="C8" s="20"/>
      <c r="D8" s="20"/>
      <c r="E8" s="20"/>
      <c r="F8" s="20"/>
      <c r="G8" s="20"/>
      <c r="H8" s="20"/>
      <c r="I8" s="20"/>
    </row>
    <row r="9" s="12" customFormat="1" spans="1:17">
      <c r="A9" s="19" t="s">
        <v>2141</v>
      </c>
      <c r="B9" s="20"/>
      <c r="C9" s="20"/>
      <c r="D9" s="20"/>
      <c r="E9" s="20"/>
      <c r="F9" s="20"/>
      <c r="G9" s="20"/>
      <c r="H9" s="20"/>
      <c r="I9" s="20"/>
    </row>
    <row r="10" s="12" customFormat="1" ht="24" spans="1:17">
      <c r="A10" s="21" t="s">
        <v>1</v>
      </c>
      <c r="B10" s="21" t="s">
        <v>1741</v>
      </c>
      <c r="C10" s="21" t="s">
        <v>2127</v>
      </c>
      <c r="D10" s="21" t="s">
        <v>2128</v>
      </c>
      <c r="E10" s="21" t="s">
        <v>2129</v>
      </c>
      <c r="F10" s="21" t="s">
        <v>2130</v>
      </c>
      <c r="G10" s="21" t="s">
        <v>2131</v>
      </c>
      <c r="H10" s="21" t="s">
        <v>2132</v>
      </c>
      <c r="I10" s="19" t="s">
        <v>1978</v>
      </c>
      <c r="P10" s="21" t="s">
        <v>1</v>
      </c>
      <c r="Q10" s="19" t="s">
        <v>1978</v>
      </c>
    </row>
    <row r="11" s="12" customFormat="1" spans="1:17">
      <c r="A11" s="22" t="s">
        <v>252</v>
      </c>
      <c r="B11" s="22" t="s">
        <v>1801</v>
      </c>
      <c r="C11" s="22" t="s">
        <v>2142</v>
      </c>
      <c r="D11" s="22" t="s">
        <v>2134</v>
      </c>
      <c r="E11" s="22" t="s">
        <v>2139</v>
      </c>
      <c r="F11" s="22" t="s">
        <v>2136</v>
      </c>
      <c r="G11" s="22" t="s">
        <v>2136</v>
      </c>
      <c r="H11" s="22" t="s">
        <v>1715</v>
      </c>
      <c r="I11" s="22">
        <v>118</v>
      </c>
      <c r="P11" s="22" t="s">
        <v>252</v>
      </c>
      <c r="Q11" s="22">
        <v>118</v>
      </c>
    </row>
    <row r="14" s="12" customFormat="1" spans="1:17">
      <c r="A14" s="19" t="s">
        <v>2143</v>
      </c>
      <c r="B14" s="20"/>
      <c r="C14" s="20"/>
      <c r="D14" s="20"/>
      <c r="E14" s="20"/>
      <c r="F14" s="20"/>
      <c r="G14" s="20"/>
      <c r="H14" s="20"/>
      <c r="I14" s="20"/>
    </row>
    <row r="15" s="12" customFormat="1" spans="1:17">
      <c r="A15" s="19" t="s">
        <v>2144</v>
      </c>
      <c r="B15" s="20"/>
      <c r="C15" s="20"/>
      <c r="D15" s="20"/>
      <c r="E15" s="20"/>
      <c r="F15" s="20"/>
      <c r="G15" s="20"/>
      <c r="H15" s="20"/>
      <c r="I15" s="20"/>
    </row>
    <row r="16" s="12" customFormat="1" ht="24" spans="1:17">
      <c r="A16" s="21" t="s">
        <v>1</v>
      </c>
      <c r="B16" s="21" t="s">
        <v>1741</v>
      </c>
      <c r="C16" s="21" t="s">
        <v>2127</v>
      </c>
      <c r="D16" s="21" t="s">
        <v>2128</v>
      </c>
      <c r="E16" s="21" t="s">
        <v>2129</v>
      </c>
      <c r="F16" s="21" t="s">
        <v>2130</v>
      </c>
      <c r="G16" s="21" t="s">
        <v>2131</v>
      </c>
      <c r="H16" s="21" t="s">
        <v>2132</v>
      </c>
      <c r="I16" s="19" t="s">
        <v>1978</v>
      </c>
      <c r="P16" s="21" t="s">
        <v>1</v>
      </c>
      <c r="Q16" s="19" t="s">
        <v>1978</v>
      </c>
    </row>
    <row r="17" s="12" customFormat="1" spans="1:17">
      <c r="A17" s="22" t="s">
        <v>255</v>
      </c>
      <c r="B17" s="22" t="s">
        <v>1831</v>
      </c>
      <c r="C17" s="22" t="s">
        <v>2145</v>
      </c>
      <c r="D17" s="22" t="s">
        <v>2134</v>
      </c>
      <c r="E17" s="22" t="s">
        <v>2139</v>
      </c>
      <c r="F17" s="22" t="s">
        <v>2136</v>
      </c>
      <c r="G17" s="22" t="s">
        <v>2136</v>
      </c>
      <c r="H17" s="22" t="s">
        <v>1715</v>
      </c>
      <c r="I17" s="22">
        <v>118</v>
      </c>
      <c r="P17" s="22" t="s">
        <v>255</v>
      </c>
      <c r="Q17" s="22">
        <v>118</v>
      </c>
    </row>
    <row r="18" s="12" customFormat="1" spans="1:17">
      <c r="A18" s="22" t="s">
        <v>26</v>
      </c>
      <c r="B18" s="22" t="s">
        <v>1829</v>
      </c>
      <c r="C18" s="22" t="s">
        <v>2146</v>
      </c>
      <c r="D18" s="22" t="s">
        <v>2134</v>
      </c>
      <c r="E18" s="22" t="s">
        <v>2139</v>
      </c>
      <c r="F18" s="22" t="s">
        <v>2136</v>
      </c>
      <c r="G18" s="22" t="s">
        <v>2136</v>
      </c>
      <c r="H18" s="22" t="s">
        <v>1715</v>
      </c>
      <c r="I18" s="22">
        <v>118</v>
      </c>
      <c r="P18" s="22" t="s">
        <v>26</v>
      </c>
      <c r="Q18" s="22">
        <v>118</v>
      </c>
    </row>
    <row r="19" s="12" customFormat="1" spans="1:17">
      <c r="A19" s="22" t="s">
        <v>98</v>
      </c>
      <c r="B19" s="22" t="s">
        <v>1839</v>
      </c>
      <c r="C19" s="22" t="s">
        <v>2147</v>
      </c>
      <c r="D19" s="22" t="s">
        <v>2134</v>
      </c>
      <c r="E19" s="22" t="s">
        <v>2139</v>
      </c>
      <c r="F19" s="22" t="s">
        <v>2136</v>
      </c>
      <c r="G19" s="22" t="s">
        <v>2136</v>
      </c>
      <c r="H19" s="22" t="s">
        <v>1715</v>
      </c>
      <c r="I19" s="22">
        <v>118</v>
      </c>
      <c r="P19" s="22" t="s">
        <v>98</v>
      </c>
      <c r="Q19" s="22">
        <v>118</v>
      </c>
    </row>
    <row r="20" s="12" customFormat="1" spans="1:17">
      <c r="A20" s="22" t="s">
        <v>103</v>
      </c>
      <c r="B20" s="22" t="s">
        <v>1812</v>
      </c>
      <c r="C20" s="22" t="s">
        <v>2148</v>
      </c>
      <c r="D20" s="22" t="s">
        <v>2134</v>
      </c>
      <c r="E20" s="22" t="s">
        <v>2139</v>
      </c>
      <c r="F20" s="22" t="s">
        <v>2136</v>
      </c>
      <c r="G20" s="22" t="s">
        <v>2136</v>
      </c>
      <c r="H20" s="22" t="s">
        <v>1715</v>
      </c>
      <c r="I20" s="22">
        <v>118</v>
      </c>
      <c r="P20" s="22" t="s">
        <v>103</v>
      </c>
      <c r="Q20" s="22">
        <v>118</v>
      </c>
    </row>
    <row r="21" s="12" customFormat="1" spans="1:17">
      <c r="A21" s="22" t="s">
        <v>247</v>
      </c>
      <c r="B21" s="22" t="s">
        <v>1833</v>
      </c>
      <c r="C21" s="22" t="s">
        <v>2149</v>
      </c>
      <c r="D21" s="22" t="s">
        <v>2134</v>
      </c>
      <c r="E21" s="22" t="s">
        <v>2135</v>
      </c>
      <c r="F21" s="22" t="s">
        <v>2136</v>
      </c>
      <c r="G21" s="22" t="s">
        <v>2136</v>
      </c>
      <c r="H21" s="22" t="s">
        <v>2137</v>
      </c>
      <c r="I21" s="22">
        <v>500</v>
      </c>
      <c r="P21" s="22" t="s">
        <v>247</v>
      </c>
      <c r="Q21" s="22">
        <v>500</v>
      </c>
    </row>
    <row r="22" s="12" customFormat="1" spans="1:17">
      <c r="A22" s="22" t="s">
        <v>127</v>
      </c>
      <c r="B22" s="22" t="s">
        <v>1837</v>
      </c>
      <c r="C22" s="22" t="s">
        <v>2150</v>
      </c>
      <c r="D22" s="22" t="s">
        <v>2134</v>
      </c>
      <c r="E22" s="22" t="s">
        <v>2139</v>
      </c>
      <c r="F22" s="22" t="s">
        <v>2136</v>
      </c>
      <c r="G22" s="22" t="s">
        <v>2136</v>
      </c>
      <c r="H22" s="22" t="s">
        <v>1715</v>
      </c>
      <c r="I22" s="22">
        <v>118</v>
      </c>
      <c r="P22" s="22" t="s">
        <v>127</v>
      </c>
      <c r="Q22" s="22">
        <v>118</v>
      </c>
    </row>
    <row r="23" s="12" customFormat="1" spans="1:17">
      <c r="A23" s="22" t="s">
        <v>152</v>
      </c>
      <c r="B23" s="22" t="s">
        <v>1827</v>
      </c>
      <c r="C23" s="22" t="s">
        <v>2151</v>
      </c>
      <c r="D23" s="22" t="s">
        <v>2134</v>
      </c>
      <c r="E23" s="22" t="s">
        <v>2139</v>
      </c>
      <c r="F23" s="22" t="s">
        <v>2136</v>
      </c>
      <c r="G23" s="22" t="s">
        <v>2136</v>
      </c>
      <c r="H23" s="22" t="s">
        <v>1715</v>
      </c>
      <c r="I23" s="22">
        <v>118</v>
      </c>
      <c r="P23" s="22" t="s">
        <v>152</v>
      </c>
      <c r="Q23" s="22">
        <v>118</v>
      </c>
    </row>
    <row r="24" s="12" customFormat="1" spans="1:17">
      <c r="A24" s="22" t="s">
        <v>106</v>
      </c>
      <c r="B24" s="22" t="s">
        <v>1811</v>
      </c>
      <c r="C24" s="22" t="s">
        <v>2152</v>
      </c>
      <c r="D24" s="22" t="s">
        <v>2134</v>
      </c>
      <c r="E24" s="22" t="s">
        <v>2139</v>
      </c>
      <c r="F24" s="22" t="s">
        <v>2136</v>
      </c>
      <c r="G24" s="22" t="s">
        <v>2136</v>
      </c>
      <c r="H24" s="22" t="s">
        <v>1715</v>
      </c>
      <c r="I24" s="22">
        <v>118</v>
      </c>
      <c r="P24" s="22" t="s">
        <v>106</v>
      </c>
      <c r="Q24" s="22">
        <v>118</v>
      </c>
    </row>
    <row r="25" s="12" customFormat="1" spans="1:17">
      <c r="A25" s="22" t="s">
        <v>48</v>
      </c>
      <c r="B25" s="22" t="s">
        <v>1823</v>
      </c>
      <c r="C25" s="22" t="s">
        <v>2153</v>
      </c>
      <c r="D25" s="22" t="s">
        <v>2134</v>
      </c>
      <c r="E25" s="22" t="s">
        <v>2139</v>
      </c>
      <c r="F25" s="22" t="s">
        <v>2136</v>
      </c>
      <c r="G25" s="22" t="s">
        <v>2136</v>
      </c>
      <c r="H25" s="22" t="s">
        <v>1715</v>
      </c>
      <c r="I25" s="22">
        <v>118</v>
      </c>
      <c r="P25" s="22" t="s">
        <v>48</v>
      </c>
      <c r="Q25" s="22">
        <v>118</v>
      </c>
    </row>
    <row r="26" s="12" customFormat="1" spans="1:17">
      <c r="A26" s="22" t="s">
        <v>78</v>
      </c>
      <c r="B26" s="22" t="s">
        <v>1825</v>
      </c>
      <c r="C26" s="22" t="s">
        <v>2154</v>
      </c>
      <c r="D26" s="22" t="s">
        <v>2134</v>
      </c>
      <c r="E26" s="22" t="s">
        <v>2139</v>
      </c>
      <c r="F26" s="22" t="s">
        <v>2136</v>
      </c>
      <c r="G26" s="22" t="s">
        <v>2136</v>
      </c>
      <c r="H26" s="22" t="s">
        <v>1715</v>
      </c>
      <c r="I26" s="22">
        <v>118</v>
      </c>
      <c r="P26" s="22" t="s">
        <v>78</v>
      </c>
      <c r="Q26" s="22">
        <v>118</v>
      </c>
    </row>
    <row r="27" s="12" customFormat="1" spans="1:17">
      <c r="A27" s="22" t="s">
        <v>92</v>
      </c>
      <c r="B27" s="22" t="s">
        <v>1820</v>
      </c>
      <c r="C27" s="22" t="s">
        <v>2155</v>
      </c>
      <c r="D27" s="22" t="s">
        <v>2134</v>
      </c>
      <c r="E27" s="22" t="s">
        <v>2156</v>
      </c>
      <c r="F27" s="22" t="s">
        <v>2136</v>
      </c>
      <c r="G27" s="22" t="s">
        <v>2136</v>
      </c>
      <c r="H27" s="22" t="s">
        <v>2157</v>
      </c>
      <c r="I27" s="22">
        <v>126</v>
      </c>
      <c r="P27" s="22" t="s">
        <v>92</v>
      </c>
      <c r="Q27" s="22">
        <v>126</v>
      </c>
    </row>
    <row r="28" s="12" customFormat="1" spans="1:17">
      <c r="A28" s="12" t="s">
        <v>1851</v>
      </c>
    </row>
    <row r="30" s="12" customFormat="1" spans="1:17">
      <c r="A30" s="19" t="s">
        <v>2158</v>
      </c>
      <c r="B30" s="20"/>
      <c r="C30" s="20"/>
      <c r="D30" s="20"/>
      <c r="E30" s="20"/>
      <c r="F30" s="20"/>
      <c r="G30" s="20"/>
      <c r="H30" s="20"/>
      <c r="I30" s="20"/>
    </row>
    <row r="31" s="12" customFormat="1" spans="1:17">
      <c r="A31" s="19" t="s">
        <v>2159</v>
      </c>
      <c r="B31" s="20"/>
      <c r="C31" s="20"/>
      <c r="D31" s="20"/>
      <c r="E31" s="20"/>
      <c r="F31" s="20"/>
      <c r="G31" s="20"/>
      <c r="H31" s="20"/>
      <c r="I31" s="20"/>
    </row>
    <row r="32" s="12" customFormat="1" ht="24" spans="1:17">
      <c r="A32" s="21" t="s">
        <v>1</v>
      </c>
      <c r="B32" s="21" t="s">
        <v>1741</v>
      </c>
      <c r="C32" s="21" t="s">
        <v>2127</v>
      </c>
      <c r="D32" s="21" t="s">
        <v>2128</v>
      </c>
      <c r="E32" s="21" t="s">
        <v>2129</v>
      </c>
      <c r="F32" s="21" t="s">
        <v>2130</v>
      </c>
      <c r="G32" s="21" t="s">
        <v>2131</v>
      </c>
      <c r="H32" s="21" t="s">
        <v>2132</v>
      </c>
      <c r="I32" s="19" t="s">
        <v>1978</v>
      </c>
      <c r="P32" s="21" t="s">
        <v>1</v>
      </c>
      <c r="Q32" s="19" t="s">
        <v>1978</v>
      </c>
    </row>
    <row r="33" s="12" customFormat="1" spans="1:17">
      <c r="A33" s="22" t="s">
        <v>41</v>
      </c>
      <c r="B33" s="22" t="s">
        <v>1858</v>
      </c>
      <c r="C33" s="22" t="s">
        <v>2160</v>
      </c>
      <c r="D33" s="22" t="s">
        <v>2134</v>
      </c>
      <c r="E33" s="22" t="s">
        <v>2139</v>
      </c>
      <c r="F33" s="22" t="s">
        <v>2136</v>
      </c>
      <c r="G33" s="22" t="s">
        <v>2136</v>
      </c>
      <c r="H33" s="22" t="s">
        <v>1715</v>
      </c>
      <c r="I33" s="22">
        <v>118</v>
      </c>
      <c r="P33" s="22" t="s">
        <v>41</v>
      </c>
      <c r="Q33" s="22">
        <v>118</v>
      </c>
    </row>
    <row r="34" s="12" customFormat="1" spans="1:17">
      <c r="A34" s="22" t="s">
        <v>38</v>
      </c>
      <c r="B34" s="22" t="s">
        <v>1863</v>
      </c>
      <c r="C34" s="22" t="s">
        <v>2161</v>
      </c>
      <c r="D34" s="22" t="s">
        <v>2134</v>
      </c>
      <c r="E34" s="22" t="s">
        <v>2139</v>
      </c>
      <c r="F34" s="22" t="s">
        <v>2136</v>
      </c>
      <c r="G34" s="22" t="s">
        <v>2136</v>
      </c>
      <c r="H34" s="22" t="s">
        <v>1715</v>
      </c>
      <c r="I34" s="22">
        <v>118</v>
      </c>
      <c r="P34" s="22" t="s">
        <v>38</v>
      </c>
      <c r="Q34" s="22">
        <v>118</v>
      </c>
    </row>
    <row r="35" s="12" customFormat="1" spans="1:17">
      <c r="A35" s="22" t="s">
        <v>129</v>
      </c>
      <c r="B35" s="22" t="s">
        <v>1864</v>
      </c>
      <c r="C35" s="22" t="s">
        <v>2162</v>
      </c>
      <c r="D35" s="22" t="s">
        <v>2134</v>
      </c>
      <c r="E35" s="22" t="s">
        <v>2139</v>
      </c>
      <c r="F35" s="22" t="s">
        <v>2136</v>
      </c>
      <c r="G35" s="22" t="s">
        <v>2136</v>
      </c>
      <c r="H35" s="22" t="s">
        <v>1715</v>
      </c>
      <c r="I35" s="22">
        <v>118</v>
      </c>
      <c r="P35" s="22" t="s">
        <v>129</v>
      </c>
      <c r="Q35" s="22">
        <v>118</v>
      </c>
    </row>
    <row r="36" s="12" customFormat="1" spans="1:17">
      <c r="A36" s="22" t="s">
        <v>132</v>
      </c>
      <c r="B36" s="22" t="s">
        <v>1855</v>
      </c>
      <c r="C36" s="22" t="s">
        <v>2163</v>
      </c>
      <c r="D36" s="22" t="s">
        <v>2134</v>
      </c>
      <c r="E36" s="22" t="s">
        <v>2139</v>
      </c>
      <c r="F36" s="22" t="s">
        <v>2136</v>
      </c>
      <c r="G36" s="22" t="s">
        <v>2136</v>
      </c>
      <c r="H36" s="22" t="s">
        <v>1715</v>
      </c>
      <c r="I36" s="22">
        <v>118</v>
      </c>
      <c r="P36" s="22" t="s">
        <v>132</v>
      </c>
      <c r="Q36" s="22">
        <v>118</v>
      </c>
    </row>
    <row r="37" s="12" customFormat="1" spans="1:17">
      <c r="A37" s="22" t="s">
        <v>90</v>
      </c>
      <c r="B37" s="22" t="s">
        <v>1862</v>
      </c>
      <c r="C37" s="22" t="s">
        <v>2164</v>
      </c>
      <c r="D37" s="22" t="s">
        <v>2134</v>
      </c>
      <c r="E37" s="22" t="s">
        <v>2139</v>
      </c>
      <c r="F37" s="22" t="s">
        <v>2136</v>
      </c>
      <c r="G37" s="22" t="s">
        <v>2136</v>
      </c>
      <c r="H37" s="22" t="s">
        <v>1715</v>
      </c>
      <c r="I37" s="22">
        <v>118</v>
      </c>
      <c r="P37" s="22" t="s">
        <v>90</v>
      </c>
      <c r="Q37" s="22">
        <v>118</v>
      </c>
    </row>
    <row r="38" s="12" customFormat="1" spans="1:17">
      <c r="A38" s="22" t="s">
        <v>52</v>
      </c>
      <c r="B38" s="22" t="s">
        <v>1859</v>
      </c>
      <c r="C38" s="22" t="s">
        <v>2165</v>
      </c>
      <c r="D38" s="22" t="s">
        <v>2134</v>
      </c>
      <c r="E38" s="22" t="s">
        <v>2156</v>
      </c>
      <c r="F38" s="22" t="s">
        <v>2136</v>
      </c>
      <c r="G38" s="22" t="s">
        <v>2136</v>
      </c>
      <c r="H38" s="22" t="s">
        <v>2157</v>
      </c>
      <c r="I38" s="22">
        <v>126</v>
      </c>
      <c r="P38" s="22" t="s">
        <v>52</v>
      </c>
      <c r="Q38" s="22">
        <v>126</v>
      </c>
    </row>
    <row r="39" s="12" customFormat="1" spans="1:17">
      <c r="A39" s="22" t="s">
        <v>125</v>
      </c>
      <c r="B39" s="22" t="s">
        <v>1853</v>
      </c>
      <c r="C39" s="22" t="s">
        <v>2166</v>
      </c>
      <c r="D39" s="22" t="s">
        <v>2134</v>
      </c>
      <c r="E39" s="22" t="s">
        <v>2139</v>
      </c>
      <c r="F39" s="22" t="s">
        <v>2136</v>
      </c>
      <c r="G39" s="22" t="s">
        <v>2136</v>
      </c>
      <c r="H39" s="22" t="s">
        <v>1715</v>
      </c>
      <c r="I39" s="22">
        <v>118</v>
      </c>
      <c r="P39" s="22" t="s">
        <v>125</v>
      </c>
      <c r="Q39" s="22">
        <v>118</v>
      </c>
    </row>
    <row r="40" s="12" customFormat="1" spans="1:17">
      <c r="A40" s="22" t="s">
        <v>59</v>
      </c>
      <c r="B40" s="22" t="s">
        <v>1854</v>
      </c>
      <c r="C40" s="22" t="s">
        <v>2167</v>
      </c>
      <c r="D40" s="22" t="s">
        <v>2134</v>
      </c>
      <c r="E40" s="22" t="s">
        <v>2139</v>
      </c>
      <c r="F40" s="22" t="s">
        <v>2136</v>
      </c>
      <c r="G40" s="22" t="s">
        <v>2136</v>
      </c>
      <c r="H40" s="22" t="s">
        <v>1715</v>
      </c>
      <c r="I40" s="22">
        <v>118</v>
      </c>
      <c r="P40" s="22" t="s">
        <v>59</v>
      </c>
      <c r="Q40" s="22">
        <v>118</v>
      </c>
    </row>
    <row r="41" s="12" customFormat="1" spans="1:17">
      <c r="A41" s="22" t="s">
        <v>85</v>
      </c>
      <c r="B41" s="22" t="s">
        <v>1860</v>
      </c>
      <c r="C41" s="22" t="s">
        <v>2168</v>
      </c>
      <c r="D41" s="22" t="s">
        <v>2134</v>
      </c>
      <c r="E41" s="22" t="s">
        <v>2156</v>
      </c>
      <c r="F41" s="22" t="s">
        <v>2136</v>
      </c>
      <c r="G41" s="22" t="s">
        <v>2136</v>
      </c>
      <c r="H41" s="22" t="s">
        <v>2157</v>
      </c>
      <c r="I41" s="22">
        <v>126</v>
      </c>
      <c r="P41" s="22" t="s">
        <v>85</v>
      </c>
      <c r="Q41" s="22">
        <v>126</v>
      </c>
    </row>
    <row r="42" s="12" customFormat="1" spans="1:17">
      <c r="A42" s="12" t="s">
        <v>1877</v>
      </c>
    </row>
    <row r="44" s="12" customFormat="1" spans="1:17">
      <c r="A44" s="19" t="s">
        <v>2169</v>
      </c>
      <c r="B44" s="20"/>
      <c r="C44" s="20"/>
      <c r="D44" s="20"/>
      <c r="E44" s="20"/>
      <c r="F44" s="20"/>
      <c r="G44" s="20"/>
      <c r="H44" s="20"/>
      <c r="I44" s="20"/>
    </row>
    <row r="45" s="12" customFormat="1" spans="1:17">
      <c r="A45" s="19" t="s">
        <v>2170</v>
      </c>
      <c r="B45" s="20"/>
      <c r="C45" s="20"/>
      <c r="D45" s="20"/>
      <c r="E45" s="20"/>
      <c r="F45" s="20"/>
      <c r="G45" s="20"/>
      <c r="H45" s="20"/>
      <c r="I45" s="20"/>
    </row>
    <row r="46" s="12" customFormat="1" ht="24" spans="1:17">
      <c r="A46" s="21" t="s">
        <v>1</v>
      </c>
      <c r="B46" s="21" t="s">
        <v>1741</v>
      </c>
      <c r="C46" s="21" t="s">
        <v>2127</v>
      </c>
      <c r="D46" s="21" t="s">
        <v>2128</v>
      </c>
      <c r="E46" s="21" t="s">
        <v>2129</v>
      </c>
      <c r="F46" s="21" t="s">
        <v>2130</v>
      </c>
      <c r="G46" s="21" t="s">
        <v>2131</v>
      </c>
      <c r="H46" s="21" t="s">
        <v>2132</v>
      </c>
      <c r="I46" s="19" t="s">
        <v>1978</v>
      </c>
      <c r="P46" s="21" t="s">
        <v>1</v>
      </c>
      <c r="Q46" s="19" t="s">
        <v>1978</v>
      </c>
    </row>
    <row r="47" s="12" customFormat="1" spans="1:17">
      <c r="A47" s="22" t="s">
        <v>262</v>
      </c>
      <c r="B47" s="22" t="s">
        <v>1962</v>
      </c>
      <c r="C47" s="22" t="s">
        <v>2171</v>
      </c>
      <c r="D47" s="22" t="s">
        <v>2134</v>
      </c>
      <c r="E47" s="22" t="s">
        <v>2156</v>
      </c>
      <c r="F47" s="22" t="s">
        <v>2136</v>
      </c>
      <c r="G47" s="22" t="s">
        <v>2136</v>
      </c>
      <c r="H47" s="22" t="s">
        <v>2157</v>
      </c>
      <c r="I47" s="22">
        <v>126</v>
      </c>
      <c r="P47" s="22" t="s">
        <v>262</v>
      </c>
      <c r="Q47" s="22">
        <v>126</v>
      </c>
    </row>
    <row r="50" s="12" customFormat="1" spans="1:17">
      <c r="A50" s="19" t="s">
        <v>2172</v>
      </c>
      <c r="B50" s="20"/>
      <c r="C50" s="20"/>
      <c r="D50" s="20"/>
      <c r="E50" s="20"/>
      <c r="F50" s="20"/>
      <c r="G50" s="20"/>
      <c r="H50" s="20"/>
      <c r="I50" s="20"/>
    </row>
    <row r="51" s="12" customFormat="1" spans="1:17">
      <c r="A51" s="19" t="s">
        <v>2173</v>
      </c>
      <c r="B51" s="20"/>
      <c r="C51" s="20"/>
      <c r="D51" s="20"/>
      <c r="E51" s="20"/>
      <c r="F51" s="20"/>
      <c r="G51" s="20"/>
      <c r="H51" s="20"/>
      <c r="I51" s="20"/>
    </row>
    <row r="52" s="12" customFormat="1" ht="24" spans="1:17">
      <c r="A52" s="21" t="s">
        <v>1</v>
      </c>
      <c r="B52" s="21" t="s">
        <v>1741</v>
      </c>
      <c r="C52" s="21" t="s">
        <v>2127</v>
      </c>
      <c r="D52" s="21" t="s">
        <v>2128</v>
      </c>
      <c r="E52" s="21" t="s">
        <v>2129</v>
      </c>
      <c r="F52" s="21" t="s">
        <v>2130</v>
      </c>
      <c r="G52" s="21" t="s">
        <v>2131</v>
      </c>
      <c r="H52" s="21" t="s">
        <v>2132</v>
      </c>
      <c r="I52" s="19" t="s">
        <v>1978</v>
      </c>
      <c r="P52" s="21" t="s">
        <v>1</v>
      </c>
      <c r="Q52" s="19" t="s">
        <v>1978</v>
      </c>
    </row>
    <row r="53" s="12" customFormat="1" spans="1:17">
      <c r="A53" s="22" t="s">
        <v>63</v>
      </c>
      <c r="B53" s="22" t="s">
        <v>1934</v>
      </c>
      <c r="C53" s="22" t="s">
        <v>2174</v>
      </c>
      <c r="D53" s="22" t="s">
        <v>2134</v>
      </c>
      <c r="E53" s="22" t="s">
        <v>2139</v>
      </c>
      <c r="F53" s="22" t="s">
        <v>2136</v>
      </c>
      <c r="G53" s="22" t="s">
        <v>2136</v>
      </c>
      <c r="H53" s="22" t="s">
        <v>1715</v>
      </c>
      <c r="I53" s="22">
        <v>118</v>
      </c>
      <c r="P53" s="22" t="s">
        <v>63</v>
      </c>
      <c r="Q53" s="22">
        <v>118</v>
      </c>
    </row>
    <row r="54" s="12" customFormat="1" spans="1:17">
      <c r="A54" s="22" t="s">
        <v>147</v>
      </c>
      <c r="B54" s="22" t="s">
        <v>1932</v>
      </c>
      <c r="C54" s="22" t="s">
        <v>2175</v>
      </c>
      <c r="D54" s="22" t="s">
        <v>2134</v>
      </c>
      <c r="E54" s="22" t="s">
        <v>2139</v>
      </c>
      <c r="F54" s="22" t="s">
        <v>2136</v>
      </c>
      <c r="G54" s="22" t="s">
        <v>2136</v>
      </c>
      <c r="H54" s="22" t="s">
        <v>1715</v>
      </c>
      <c r="I54" s="22">
        <v>118</v>
      </c>
      <c r="P54" s="22" t="s">
        <v>147</v>
      </c>
      <c r="Q54" s="22">
        <v>118</v>
      </c>
    </row>
    <row r="55" s="12" customFormat="1" spans="1:17">
      <c r="A55" s="22" t="s">
        <v>32</v>
      </c>
      <c r="B55" s="22" t="s">
        <v>1940</v>
      </c>
      <c r="C55" s="22" t="s">
        <v>2176</v>
      </c>
      <c r="D55" s="22" t="s">
        <v>2134</v>
      </c>
      <c r="E55" s="22" t="s">
        <v>2156</v>
      </c>
      <c r="F55" s="22" t="s">
        <v>2136</v>
      </c>
      <c r="G55" s="22" t="s">
        <v>2136</v>
      </c>
      <c r="H55" s="22" t="s">
        <v>2157</v>
      </c>
      <c r="I55" s="22">
        <v>126</v>
      </c>
      <c r="P55" s="22" t="s">
        <v>32</v>
      </c>
      <c r="Q55" s="22">
        <v>126</v>
      </c>
    </row>
    <row r="56" s="12" customFormat="1" spans="1:17">
      <c r="A56" s="22" t="s">
        <v>154</v>
      </c>
      <c r="B56" s="22" t="s">
        <v>1948</v>
      </c>
      <c r="C56" s="22" t="s">
        <v>2177</v>
      </c>
      <c r="D56" s="22" t="s">
        <v>2134</v>
      </c>
      <c r="E56" s="22" t="s">
        <v>2139</v>
      </c>
      <c r="F56" s="22" t="s">
        <v>2136</v>
      </c>
      <c r="G56" s="22" t="s">
        <v>2136</v>
      </c>
      <c r="H56" s="22" t="s">
        <v>1715</v>
      </c>
      <c r="I56" s="22">
        <v>118</v>
      </c>
      <c r="P56" s="22" t="s">
        <v>154</v>
      </c>
      <c r="Q56" s="22">
        <v>118</v>
      </c>
    </row>
    <row r="57" s="12" customFormat="1" spans="1:17">
      <c r="A57" s="22" t="s">
        <v>143</v>
      </c>
      <c r="B57" s="22" t="s">
        <v>1937</v>
      </c>
      <c r="C57" s="22" t="s">
        <v>2178</v>
      </c>
      <c r="D57" s="22" t="s">
        <v>2134</v>
      </c>
      <c r="E57" s="22" t="s">
        <v>2139</v>
      </c>
      <c r="F57" s="22" t="s">
        <v>2136</v>
      </c>
      <c r="G57" s="22" t="s">
        <v>2136</v>
      </c>
      <c r="H57" s="22" t="s">
        <v>1715</v>
      </c>
      <c r="I57" s="22">
        <v>118</v>
      </c>
      <c r="P57" s="22" t="s">
        <v>143</v>
      </c>
      <c r="Q57" s="22">
        <v>118</v>
      </c>
    </row>
    <row r="58" s="12" customFormat="1" spans="1:17">
      <c r="A58" s="22" t="s">
        <v>56</v>
      </c>
      <c r="B58" s="22" t="s">
        <v>1933</v>
      </c>
      <c r="C58" s="22" t="s">
        <v>2179</v>
      </c>
      <c r="D58" s="22" t="s">
        <v>2134</v>
      </c>
      <c r="E58" s="22" t="s">
        <v>2139</v>
      </c>
      <c r="F58" s="22" t="s">
        <v>2136</v>
      </c>
      <c r="G58" s="22" t="s">
        <v>2136</v>
      </c>
      <c r="H58" s="22" t="s">
        <v>1715</v>
      </c>
      <c r="I58" s="22">
        <v>118</v>
      </c>
      <c r="P58" s="22" t="s">
        <v>56</v>
      </c>
      <c r="Q58" s="22">
        <v>118</v>
      </c>
    </row>
    <row r="59" s="12" customFormat="1" spans="1:17">
      <c r="A59" s="22" t="s">
        <v>250</v>
      </c>
      <c r="B59" s="22" t="s">
        <v>1941</v>
      </c>
      <c r="C59" s="22" t="s">
        <v>2180</v>
      </c>
      <c r="D59" s="22" t="s">
        <v>2134</v>
      </c>
      <c r="E59" s="22" t="s">
        <v>2135</v>
      </c>
      <c r="F59" s="22" t="s">
        <v>2136</v>
      </c>
      <c r="G59" s="22" t="s">
        <v>2136</v>
      </c>
      <c r="H59" s="22" t="s">
        <v>2137</v>
      </c>
      <c r="I59" s="22">
        <v>500</v>
      </c>
      <c r="P59" s="22" t="s">
        <v>250</v>
      </c>
      <c r="Q59" s="22">
        <v>500</v>
      </c>
    </row>
    <row r="60" s="12" customFormat="1" spans="1:17">
      <c r="A60" s="22" t="s">
        <v>87</v>
      </c>
      <c r="B60" s="22" t="s">
        <v>1936</v>
      </c>
      <c r="C60" s="22" t="s">
        <v>2181</v>
      </c>
      <c r="D60" s="22" t="s">
        <v>2134</v>
      </c>
      <c r="E60" s="22" t="s">
        <v>2139</v>
      </c>
      <c r="F60" s="22" t="s">
        <v>2136</v>
      </c>
      <c r="G60" s="22" t="s">
        <v>2136</v>
      </c>
      <c r="H60" s="22" t="s">
        <v>1715</v>
      </c>
      <c r="I60" s="22">
        <v>118</v>
      </c>
      <c r="P60" s="22" t="s">
        <v>87</v>
      </c>
      <c r="Q60" s="22">
        <v>118</v>
      </c>
    </row>
    <row r="61" s="12" customFormat="1" spans="1:17">
      <c r="A61" s="22" t="s">
        <v>121</v>
      </c>
      <c r="B61" s="22" t="s">
        <v>1945</v>
      </c>
      <c r="C61" s="22" t="s">
        <v>2182</v>
      </c>
      <c r="D61" s="22" t="s">
        <v>2134</v>
      </c>
      <c r="E61" s="22" t="s">
        <v>2139</v>
      </c>
      <c r="F61" s="22" t="s">
        <v>2136</v>
      </c>
      <c r="G61" s="22" t="s">
        <v>2136</v>
      </c>
      <c r="H61" s="22" t="s">
        <v>1715</v>
      </c>
      <c r="I61" s="22">
        <v>118</v>
      </c>
      <c r="P61" s="22" t="s">
        <v>121</v>
      </c>
      <c r="Q61" s="22">
        <v>118</v>
      </c>
    </row>
    <row r="62" s="12" customFormat="1" spans="1:17">
      <c r="A62" s="22" t="s">
        <v>160</v>
      </c>
      <c r="B62" s="22" t="s">
        <v>1943</v>
      </c>
      <c r="C62" s="22" t="s">
        <v>2183</v>
      </c>
      <c r="D62" s="22" t="s">
        <v>2134</v>
      </c>
      <c r="E62" s="22" t="s">
        <v>2139</v>
      </c>
      <c r="F62" s="22" t="s">
        <v>2136</v>
      </c>
      <c r="G62" s="22" t="s">
        <v>2136</v>
      </c>
      <c r="H62" s="22" t="s">
        <v>1715</v>
      </c>
      <c r="I62" s="22">
        <v>118</v>
      </c>
      <c r="P62" s="22" t="s">
        <v>160</v>
      </c>
      <c r="Q62" s="22">
        <v>118</v>
      </c>
    </row>
    <row r="63" s="12" customFormat="1" spans="1:17">
      <c r="A63" s="22" t="s">
        <v>156</v>
      </c>
      <c r="B63" s="22" t="s">
        <v>1939</v>
      </c>
      <c r="C63" s="22" t="s">
        <v>2184</v>
      </c>
      <c r="D63" s="22" t="s">
        <v>2134</v>
      </c>
      <c r="E63" s="22" t="s">
        <v>2139</v>
      </c>
      <c r="F63" s="22" t="s">
        <v>2136</v>
      </c>
      <c r="G63" s="22" t="s">
        <v>2136</v>
      </c>
      <c r="H63" s="22" t="s">
        <v>1715</v>
      </c>
      <c r="I63" s="22">
        <v>118</v>
      </c>
      <c r="P63" s="22" t="s">
        <v>156</v>
      </c>
      <c r="Q63" s="22">
        <v>118</v>
      </c>
    </row>
    <row r="64" s="12" customFormat="1" spans="1:17">
      <c r="A64" s="22" t="s">
        <v>149</v>
      </c>
      <c r="B64" s="22" t="s">
        <v>1935</v>
      </c>
      <c r="C64" s="22" t="s">
        <v>2185</v>
      </c>
      <c r="D64" s="22" t="s">
        <v>2134</v>
      </c>
      <c r="E64" s="22" t="s">
        <v>2139</v>
      </c>
      <c r="F64" s="22" t="s">
        <v>2136</v>
      </c>
      <c r="G64" s="22" t="s">
        <v>2136</v>
      </c>
      <c r="H64" s="22" t="s">
        <v>1715</v>
      </c>
      <c r="I64" s="22">
        <v>118</v>
      </c>
      <c r="P64" s="22" t="s">
        <v>149</v>
      </c>
      <c r="Q64" s="22">
        <v>118</v>
      </c>
    </row>
    <row r="65" s="12" customFormat="1" spans="1:17">
      <c r="A65" s="22" t="s">
        <v>50</v>
      </c>
      <c r="B65" s="22" t="s">
        <v>1947</v>
      </c>
      <c r="C65" s="22" t="s">
        <v>2186</v>
      </c>
      <c r="D65" s="22" t="s">
        <v>2134</v>
      </c>
      <c r="E65" s="22" t="s">
        <v>2139</v>
      </c>
      <c r="F65" s="22" t="s">
        <v>2136</v>
      </c>
      <c r="G65" s="22" t="s">
        <v>2136</v>
      </c>
      <c r="H65" s="22" t="s">
        <v>1715</v>
      </c>
      <c r="I65" s="22">
        <v>118</v>
      </c>
      <c r="P65" s="22" t="s">
        <v>50</v>
      </c>
      <c r="Q65" s="22">
        <v>118</v>
      </c>
    </row>
    <row r="66" s="12" customFormat="1" spans="1:17">
      <c r="A66" s="22" t="s">
        <v>118</v>
      </c>
      <c r="B66" s="22" t="s">
        <v>1938</v>
      </c>
      <c r="C66" s="22" t="s">
        <v>2187</v>
      </c>
      <c r="D66" s="22" t="s">
        <v>2134</v>
      </c>
      <c r="E66" s="22" t="s">
        <v>2139</v>
      </c>
      <c r="F66" s="22" t="s">
        <v>2136</v>
      </c>
      <c r="G66" s="22" t="s">
        <v>2136</v>
      </c>
      <c r="H66" s="22" t="s">
        <v>1715</v>
      </c>
      <c r="I66" s="22">
        <v>118</v>
      </c>
      <c r="P66" s="22" t="s">
        <v>118</v>
      </c>
      <c r="Q66" s="22">
        <v>118</v>
      </c>
    </row>
    <row r="67" s="12" customFormat="1" spans="1:17">
      <c r="A67" s="22" t="s">
        <v>158</v>
      </c>
      <c r="B67" s="22" t="s">
        <v>1942</v>
      </c>
      <c r="C67" s="22" t="s">
        <v>2188</v>
      </c>
      <c r="D67" s="22" t="s">
        <v>2134</v>
      </c>
      <c r="E67" s="22" t="s">
        <v>2139</v>
      </c>
      <c r="F67" s="22" t="s">
        <v>2136</v>
      </c>
      <c r="G67" s="22" t="s">
        <v>2136</v>
      </c>
      <c r="H67" s="22" t="s">
        <v>1715</v>
      </c>
      <c r="I67" s="22">
        <v>118</v>
      </c>
      <c r="P67" s="22" t="s">
        <v>158</v>
      </c>
      <c r="Q67" s="22">
        <v>118</v>
      </c>
    </row>
    <row r="68" s="12" customFormat="1" spans="1:17">
      <c r="A68" s="22" t="s">
        <v>30</v>
      </c>
      <c r="B68" s="22" t="s">
        <v>1946</v>
      </c>
      <c r="C68" s="22" t="s">
        <v>2189</v>
      </c>
      <c r="D68" s="22" t="s">
        <v>2134</v>
      </c>
      <c r="E68" s="22" t="s">
        <v>2139</v>
      </c>
      <c r="F68" s="22" t="s">
        <v>2136</v>
      </c>
      <c r="G68" s="22" t="s">
        <v>2136</v>
      </c>
      <c r="H68" s="22" t="s">
        <v>1715</v>
      </c>
      <c r="I68" s="22">
        <v>118</v>
      </c>
      <c r="P68" s="22" t="s">
        <v>30</v>
      </c>
      <c r="Q68" s="22">
        <v>118</v>
      </c>
    </row>
    <row r="71" s="12" customFormat="1" spans="1:17">
      <c r="A71" s="19" t="s">
        <v>2190</v>
      </c>
      <c r="B71" s="20"/>
      <c r="C71" s="20"/>
      <c r="D71" s="20"/>
      <c r="E71" s="20"/>
      <c r="F71" s="20"/>
      <c r="G71" s="20"/>
      <c r="H71" s="20"/>
      <c r="I71" s="20"/>
    </row>
    <row r="72" s="12" customFormat="1" spans="1:17">
      <c r="A72" s="19" t="s">
        <v>2191</v>
      </c>
      <c r="B72" s="20"/>
      <c r="C72" s="20"/>
      <c r="D72" s="20"/>
      <c r="E72" s="20"/>
      <c r="F72" s="20"/>
      <c r="G72" s="20"/>
      <c r="H72" s="20"/>
      <c r="I72" s="20"/>
    </row>
    <row r="73" s="12" customFormat="1" ht="24" spans="1:17">
      <c r="A73" s="21" t="s">
        <v>1</v>
      </c>
      <c r="B73" s="21" t="s">
        <v>1741</v>
      </c>
      <c r="C73" s="21" t="s">
        <v>2127</v>
      </c>
      <c r="D73" s="21" t="s">
        <v>2128</v>
      </c>
      <c r="E73" s="21" t="s">
        <v>2129</v>
      </c>
      <c r="F73" s="21" t="s">
        <v>2130</v>
      </c>
      <c r="G73" s="21" t="s">
        <v>2131</v>
      </c>
      <c r="H73" s="21" t="s">
        <v>2132</v>
      </c>
      <c r="I73" s="19" t="s">
        <v>1978</v>
      </c>
      <c r="P73" s="21" t="s">
        <v>1</v>
      </c>
      <c r="Q73" s="19" t="s">
        <v>1978</v>
      </c>
    </row>
    <row r="74" s="12" customFormat="1" spans="1:17">
      <c r="A74" s="22" t="s">
        <v>75</v>
      </c>
      <c r="B74" s="22" t="s">
        <v>1909</v>
      </c>
      <c r="C74" s="22" t="s">
        <v>2192</v>
      </c>
      <c r="D74" s="22" t="s">
        <v>2134</v>
      </c>
      <c r="E74" s="22" t="s">
        <v>2156</v>
      </c>
      <c r="F74" s="22" t="s">
        <v>2136</v>
      </c>
      <c r="G74" s="22" t="s">
        <v>2136</v>
      </c>
      <c r="H74" s="22" t="s">
        <v>2157</v>
      </c>
      <c r="I74" s="22">
        <v>126</v>
      </c>
      <c r="P74" s="22" t="s">
        <v>75</v>
      </c>
      <c r="Q74" s="22">
        <v>126</v>
      </c>
    </row>
    <row r="75" s="12" customFormat="1" spans="1:17">
      <c r="A75" s="22" t="s">
        <v>140</v>
      </c>
      <c r="B75" s="22" t="s">
        <v>1914</v>
      </c>
      <c r="C75" s="22" t="s">
        <v>2193</v>
      </c>
      <c r="D75" s="22" t="s">
        <v>2134</v>
      </c>
      <c r="E75" s="22" t="s">
        <v>2156</v>
      </c>
      <c r="F75" s="22" t="s">
        <v>2136</v>
      </c>
      <c r="G75" s="22" t="s">
        <v>2136</v>
      </c>
      <c r="H75" s="22" t="s">
        <v>2157</v>
      </c>
      <c r="I75" s="22">
        <v>126</v>
      </c>
      <c r="P75" s="22" t="s">
        <v>140</v>
      </c>
      <c r="Q75" s="22">
        <v>126</v>
      </c>
    </row>
    <row r="76" s="12" customFormat="1" spans="1:17">
      <c r="A76" s="22" t="s">
        <v>43</v>
      </c>
      <c r="B76" s="22" t="s">
        <v>1888</v>
      </c>
      <c r="C76" s="22" t="s">
        <v>2194</v>
      </c>
      <c r="D76" s="22" t="s">
        <v>2134</v>
      </c>
      <c r="E76" s="22" t="s">
        <v>2156</v>
      </c>
      <c r="F76" s="22" t="s">
        <v>2136</v>
      </c>
      <c r="G76" s="22" t="s">
        <v>2136</v>
      </c>
      <c r="H76" s="22" t="s">
        <v>2157</v>
      </c>
      <c r="I76" s="22">
        <v>126</v>
      </c>
      <c r="P76" s="22" t="s">
        <v>43</v>
      </c>
      <c r="Q76" s="22">
        <v>126</v>
      </c>
    </row>
    <row r="77" s="12" customFormat="1" spans="1:17">
      <c r="A77" s="22" t="s">
        <v>101</v>
      </c>
      <c r="B77" s="22" t="s">
        <v>1881</v>
      </c>
      <c r="C77" s="22" t="s">
        <v>2195</v>
      </c>
      <c r="D77" s="22" t="s">
        <v>2134</v>
      </c>
      <c r="E77" s="22" t="s">
        <v>2156</v>
      </c>
      <c r="F77" s="22" t="s">
        <v>2136</v>
      </c>
      <c r="G77" s="22" t="s">
        <v>2136</v>
      </c>
      <c r="H77" s="22" t="s">
        <v>2157</v>
      </c>
      <c r="I77" s="22">
        <v>126</v>
      </c>
      <c r="P77" s="22" t="s">
        <v>101</v>
      </c>
      <c r="Q77" s="22">
        <v>126</v>
      </c>
    </row>
    <row r="78" s="12" customFormat="1" spans="1:17">
      <c r="A78" s="22" t="s">
        <v>123</v>
      </c>
      <c r="B78" s="22" t="s">
        <v>1886</v>
      </c>
      <c r="C78" s="22" t="s">
        <v>2196</v>
      </c>
      <c r="D78" s="22" t="s">
        <v>2134</v>
      </c>
      <c r="E78" s="22" t="s">
        <v>2156</v>
      </c>
      <c r="F78" s="22" t="s">
        <v>2136</v>
      </c>
      <c r="G78" s="22" t="s">
        <v>2136</v>
      </c>
      <c r="H78" s="22" t="s">
        <v>2157</v>
      </c>
      <c r="I78" s="22">
        <v>126</v>
      </c>
      <c r="P78" s="22" t="s">
        <v>123</v>
      </c>
      <c r="Q78" s="22">
        <v>126</v>
      </c>
    </row>
    <row r="79" s="12" customFormat="1" spans="1:17">
      <c r="A79" s="22" t="s">
        <v>115</v>
      </c>
      <c r="B79" s="22" t="s">
        <v>1907</v>
      </c>
      <c r="C79" s="22" t="s">
        <v>2197</v>
      </c>
      <c r="D79" s="22" t="s">
        <v>2134</v>
      </c>
      <c r="E79" s="22" t="s">
        <v>2198</v>
      </c>
      <c r="F79" s="22" t="s">
        <v>2136</v>
      </c>
      <c r="G79" s="22" t="s">
        <v>2136</v>
      </c>
      <c r="H79" s="22" t="s">
        <v>2199</v>
      </c>
      <c r="I79" s="22">
        <v>1000</v>
      </c>
      <c r="P79" s="22" t="s">
        <v>115</v>
      </c>
      <c r="Q79" s="22">
        <v>1000</v>
      </c>
    </row>
    <row r="80" s="12" customFormat="1" spans="1:17">
      <c r="A80" s="22" t="s">
        <v>136</v>
      </c>
      <c r="B80" s="22" t="s">
        <v>1885</v>
      </c>
      <c r="C80" s="22" t="s">
        <v>2200</v>
      </c>
      <c r="D80" s="22" t="s">
        <v>2134</v>
      </c>
      <c r="E80" s="22" t="s">
        <v>2156</v>
      </c>
      <c r="F80" s="22" t="s">
        <v>2136</v>
      </c>
      <c r="G80" s="22" t="s">
        <v>2136</v>
      </c>
      <c r="H80" s="22" t="s">
        <v>2157</v>
      </c>
      <c r="I80" s="22">
        <v>126</v>
      </c>
      <c r="P80" s="22" t="s">
        <v>136</v>
      </c>
      <c r="Q80" s="22">
        <v>126</v>
      </c>
    </row>
    <row r="81" s="12" customFormat="1" spans="1:17">
      <c r="A81" s="22" t="s">
        <v>179</v>
      </c>
      <c r="B81" s="22" t="s">
        <v>1903</v>
      </c>
      <c r="C81" s="22" t="s">
        <v>2201</v>
      </c>
      <c r="D81" s="22" t="s">
        <v>2134</v>
      </c>
      <c r="E81" s="22" t="s">
        <v>2156</v>
      </c>
      <c r="F81" s="22" t="s">
        <v>2136</v>
      </c>
      <c r="G81" s="22" t="s">
        <v>2136</v>
      </c>
      <c r="H81" s="22" t="s">
        <v>2157</v>
      </c>
      <c r="I81" s="22">
        <v>126</v>
      </c>
      <c r="P81" s="22" t="s">
        <v>179</v>
      </c>
      <c r="Q81" s="22">
        <v>126</v>
      </c>
    </row>
    <row r="82" s="12" customFormat="1" spans="1:17">
      <c r="A82" s="22" t="s">
        <v>134</v>
      </c>
      <c r="B82" s="22" t="s">
        <v>1916</v>
      </c>
      <c r="C82" s="22" t="s">
        <v>2202</v>
      </c>
      <c r="D82" s="22" t="s">
        <v>2134</v>
      </c>
      <c r="E82" s="22" t="s">
        <v>2156</v>
      </c>
      <c r="F82" s="22" t="s">
        <v>2136</v>
      </c>
      <c r="G82" s="22" t="s">
        <v>2136</v>
      </c>
      <c r="H82" s="22" t="s">
        <v>2157</v>
      </c>
      <c r="I82" s="22">
        <v>126</v>
      </c>
      <c r="P82" s="22" t="s">
        <v>134</v>
      </c>
      <c r="Q82" s="22">
        <v>126</v>
      </c>
    </row>
    <row r="83" s="12" customFormat="1" spans="1:17">
      <c r="A83" s="22" t="s">
        <v>66</v>
      </c>
      <c r="B83" s="22" t="s">
        <v>1895</v>
      </c>
      <c r="C83" s="22" t="s">
        <v>2203</v>
      </c>
      <c r="D83" s="22" t="s">
        <v>2134</v>
      </c>
      <c r="E83" s="22" t="s">
        <v>2156</v>
      </c>
      <c r="F83" s="22" t="s">
        <v>2136</v>
      </c>
      <c r="G83" s="22" t="s">
        <v>2136</v>
      </c>
      <c r="H83" s="22" t="s">
        <v>2157</v>
      </c>
      <c r="I83" s="22">
        <v>126</v>
      </c>
      <c r="P83" s="22" t="s">
        <v>66</v>
      </c>
      <c r="Q83" s="22">
        <v>126</v>
      </c>
    </row>
    <row r="84" s="12" customFormat="1" spans="1:17">
      <c r="A84" s="22" t="s">
        <v>258</v>
      </c>
      <c r="B84" s="22" t="s">
        <v>1883</v>
      </c>
      <c r="C84" s="22" t="s">
        <v>2204</v>
      </c>
      <c r="D84" s="22" t="s">
        <v>2134</v>
      </c>
      <c r="E84" s="22" t="s">
        <v>2156</v>
      </c>
      <c r="F84" s="22" t="s">
        <v>2136</v>
      </c>
      <c r="G84" s="22" t="s">
        <v>2136</v>
      </c>
      <c r="H84" s="22" t="s">
        <v>2157</v>
      </c>
      <c r="I84" s="22">
        <v>126</v>
      </c>
      <c r="P84" s="22" t="s">
        <v>258</v>
      </c>
      <c r="Q84" s="22">
        <v>126</v>
      </c>
    </row>
    <row r="85" s="12" customFormat="1" spans="1:17">
      <c r="A85" s="22" t="s">
        <v>108</v>
      </c>
      <c r="B85" s="22" t="s">
        <v>1880</v>
      </c>
      <c r="C85" s="22" t="s">
        <v>2205</v>
      </c>
      <c r="D85" s="22" t="s">
        <v>2134</v>
      </c>
      <c r="E85" s="22" t="s">
        <v>2156</v>
      </c>
      <c r="F85" s="22" t="s">
        <v>2136</v>
      </c>
      <c r="G85" s="22" t="s">
        <v>2136</v>
      </c>
      <c r="H85" s="22" t="s">
        <v>2157</v>
      </c>
      <c r="I85" s="22">
        <v>126</v>
      </c>
      <c r="P85" s="22" t="s">
        <v>108</v>
      </c>
      <c r="Q85" s="22">
        <v>126</v>
      </c>
    </row>
    <row r="86" s="12" customFormat="1" spans="1:17">
      <c r="A86" s="22" t="s">
        <v>36</v>
      </c>
      <c r="B86" s="22" t="s">
        <v>1893</v>
      </c>
      <c r="C86" s="22" t="s">
        <v>2206</v>
      </c>
      <c r="D86" s="22" t="s">
        <v>2134</v>
      </c>
      <c r="E86" s="22" t="s">
        <v>2156</v>
      </c>
      <c r="F86" s="22" t="s">
        <v>2136</v>
      </c>
      <c r="G86" s="22" t="s">
        <v>2136</v>
      </c>
      <c r="H86" s="22" t="s">
        <v>2157</v>
      </c>
      <c r="I86" s="22">
        <v>126</v>
      </c>
      <c r="P86" s="22" t="s">
        <v>36</v>
      </c>
      <c r="Q86" s="22">
        <v>126</v>
      </c>
    </row>
    <row r="87" s="12" customFormat="1" spans="1:17">
      <c r="A87" s="22" t="s">
        <v>96</v>
      </c>
      <c r="B87" s="22" t="s">
        <v>1887</v>
      </c>
      <c r="C87" s="22" t="s">
        <v>2207</v>
      </c>
      <c r="D87" s="22" t="s">
        <v>2134</v>
      </c>
      <c r="E87" s="22" t="s">
        <v>2156</v>
      </c>
      <c r="F87" s="22" t="s">
        <v>2136</v>
      </c>
      <c r="G87" s="22" t="s">
        <v>2136</v>
      </c>
      <c r="H87" s="22" t="s">
        <v>2157</v>
      </c>
      <c r="I87" s="22">
        <v>126</v>
      </c>
      <c r="P87" s="22" t="s">
        <v>96</v>
      </c>
      <c r="Q87" s="22">
        <v>126</v>
      </c>
    </row>
    <row r="88" s="12" customFormat="1" spans="1:17">
      <c r="A88" s="22" t="s">
        <v>82</v>
      </c>
      <c r="B88" s="22" t="s">
        <v>1905</v>
      </c>
      <c r="C88" s="22" t="s">
        <v>2208</v>
      </c>
      <c r="D88" s="22" t="s">
        <v>2134</v>
      </c>
      <c r="E88" s="22" t="s">
        <v>2156</v>
      </c>
      <c r="F88" s="22" t="s">
        <v>2136</v>
      </c>
      <c r="G88" s="22" t="s">
        <v>2136</v>
      </c>
      <c r="H88" s="22" t="s">
        <v>2157</v>
      </c>
      <c r="I88" s="22">
        <v>126</v>
      </c>
      <c r="P88" s="22" t="s">
        <v>82</v>
      </c>
      <c r="Q88" s="22">
        <v>126</v>
      </c>
    </row>
    <row r="89" s="12" customFormat="1" spans="1:17">
      <c r="A89" s="22" t="s">
        <v>138</v>
      </c>
      <c r="B89" s="22" t="s">
        <v>1913</v>
      </c>
      <c r="C89" s="22" t="s">
        <v>2209</v>
      </c>
      <c r="D89" s="22" t="s">
        <v>2134</v>
      </c>
      <c r="E89" s="22" t="s">
        <v>2156</v>
      </c>
      <c r="F89" s="22" t="s">
        <v>2136</v>
      </c>
      <c r="G89" s="22" t="s">
        <v>2136</v>
      </c>
      <c r="H89" s="22" t="s">
        <v>2157</v>
      </c>
      <c r="I89" s="22">
        <v>126</v>
      </c>
      <c r="P89" s="22" t="s">
        <v>138</v>
      </c>
      <c r="Q89" s="22">
        <v>126</v>
      </c>
    </row>
    <row r="90" s="12" customFormat="1" spans="1:17">
      <c r="A90" s="22" t="s">
        <v>94</v>
      </c>
      <c r="B90" s="22" t="s">
        <v>1897</v>
      </c>
      <c r="C90" s="22" t="s">
        <v>2210</v>
      </c>
      <c r="D90" s="22" t="s">
        <v>2134</v>
      </c>
      <c r="E90" s="22" t="s">
        <v>2156</v>
      </c>
      <c r="F90" s="22" t="s">
        <v>2136</v>
      </c>
      <c r="G90" s="22" t="s">
        <v>2136</v>
      </c>
      <c r="H90" s="22" t="s">
        <v>2157</v>
      </c>
      <c r="I90" s="22">
        <v>126</v>
      </c>
      <c r="P90" s="22" t="s">
        <v>94</v>
      </c>
      <c r="Q90" s="22">
        <v>126</v>
      </c>
    </row>
    <row r="91" s="12" customFormat="1" spans="1:17">
      <c r="A91" s="22" t="s">
        <v>112</v>
      </c>
      <c r="B91" s="22" t="s">
        <v>1884</v>
      </c>
      <c r="C91" s="22" t="s">
        <v>2211</v>
      </c>
      <c r="D91" s="22" t="s">
        <v>2134</v>
      </c>
      <c r="E91" s="22" t="s">
        <v>2156</v>
      </c>
      <c r="F91" s="22" t="s">
        <v>2136</v>
      </c>
      <c r="G91" s="22" t="s">
        <v>2136</v>
      </c>
      <c r="H91" s="22" t="s">
        <v>2157</v>
      </c>
      <c r="I91" s="22">
        <v>126</v>
      </c>
      <c r="P91" s="22" t="s">
        <v>112</v>
      </c>
      <c r="Q91" s="22">
        <v>126</v>
      </c>
    </row>
    <row r="92" s="12" customFormat="1" spans="1:17">
      <c r="A92" s="22" t="s">
        <v>110</v>
      </c>
      <c r="B92" s="22" t="s">
        <v>1911</v>
      </c>
      <c r="C92" s="22" t="s">
        <v>2212</v>
      </c>
      <c r="D92" s="22" t="s">
        <v>2134</v>
      </c>
      <c r="E92" s="22" t="s">
        <v>2156</v>
      </c>
      <c r="F92" s="22" t="s">
        <v>2136</v>
      </c>
      <c r="G92" s="22" t="s">
        <v>2136</v>
      </c>
      <c r="H92" s="22" t="s">
        <v>2157</v>
      </c>
      <c r="I92" s="22">
        <v>126</v>
      </c>
      <c r="P92" s="22" t="s">
        <v>110</v>
      </c>
      <c r="Q92" s="22">
        <v>126</v>
      </c>
    </row>
    <row r="93" s="12" customFormat="1" spans="1:17">
      <c r="A93" s="22" t="s">
        <v>73</v>
      </c>
      <c r="B93" s="22" t="s">
        <v>1918</v>
      </c>
      <c r="C93" s="22" t="s">
        <v>2213</v>
      </c>
      <c r="D93" s="22" t="s">
        <v>2134</v>
      </c>
      <c r="E93" s="22" t="s">
        <v>2156</v>
      </c>
      <c r="F93" s="22" t="s">
        <v>2136</v>
      </c>
      <c r="G93" s="22" t="s">
        <v>2136</v>
      </c>
      <c r="H93" s="22" t="s">
        <v>2157</v>
      </c>
      <c r="I93" s="22">
        <v>126</v>
      </c>
      <c r="P93" s="22" t="s">
        <v>73</v>
      </c>
      <c r="Q93" s="22">
        <v>126</v>
      </c>
    </row>
    <row r="94" s="12" customFormat="1" spans="1:17">
      <c r="A94" s="22" t="s">
        <v>169</v>
      </c>
      <c r="B94" s="22" t="s">
        <v>1889</v>
      </c>
      <c r="C94" s="22" t="s">
        <v>2214</v>
      </c>
      <c r="D94" s="22" t="s">
        <v>2134</v>
      </c>
      <c r="E94" s="22" t="s">
        <v>2156</v>
      </c>
      <c r="F94" s="22" t="s">
        <v>2136</v>
      </c>
      <c r="G94" s="22" t="s">
        <v>2136</v>
      </c>
      <c r="H94" s="22" t="s">
        <v>2157</v>
      </c>
      <c r="I94" s="22">
        <v>126</v>
      </c>
      <c r="P94" s="22" t="s">
        <v>169</v>
      </c>
      <c r="Q94" s="22">
        <v>126</v>
      </c>
    </row>
    <row r="95" s="12" customFormat="1" spans="1:17">
      <c r="A95" s="22" t="s">
        <v>61</v>
      </c>
      <c r="B95" s="22" t="s">
        <v>1899</v>
      </c>
      <c r="C95" s="22" t="s">
        <v>2215</v>
      </c>
      <c r="D95" s="22" t="s">
        <v>2134</v>
      </c>
      <c r="E95" s="22" t="s">
        <v>2156</v>
      </c>
      <c r="F95" s="22" t="s">
        <v>2136</v>
      </c>
      <c r="G95" s="22" t="s">
        <v>2136</v>
      </c>
      <c r="H95" s="22" t="s">
        <v>2157</v>
      </c>
      <c r="I95" s="22">
        <v>126</v>
      </c>
      <c r="P95" s="22" t="s">
        <v>61</v>
      </c>
      <c r="Q95" s="22">
        <v>126</v>
      </c>
    </row>
    <row r="96" s="12" customFormat="1" spans="1:17">
      <c r="A96" s="22" t="s">
        <v>68</v>
      </c>
      <c r="B96" s="22" t="s">
        <v>1882</v>
      </c>
      <c r="C96" s="22" t="s">
        <v>2216</v>
      </c>
      <c r="D96" s="22" t="s">
        <v>2134</v>
      </c>
      <c r="E96" s="22" t="s">
        <v>2156</v>
      </c>
      <c r="F96" s="22" t="s">
        <v>2136</v>
      </c>
      <c r="G96" s="22" t="s">
        <v>2136</v>
      </c>
      <c r="H96" s="22" t="s">
        <v>2157</v>
      </c>
      <c r="I96" s="22">
        <v>126</v>
      </c>
      <c r="P96" s="22" t="s">
        <v>68</v>
      </c>
      <c r="Q96" s="22">
        <v>126</v>
      </c>
    </row>
    <row r="97" s="12" customFormat="1" spans="1:17">
      <c r="A97" s="22" t="s">
        <v>71</v>
      </c>
      <c r="B97" s="22" t="s">
        <v>1901</v>
      </c>
      <c r="C97" s="22" t="s">
        <v>2217</v>
      </c>
      <c r="D97" s="22" t="s">
        <v>2134</v>
      </c>
      <c r="E97" s="22" t="s">
        <v>2156</v>
      </c>
      <c r="F97" s="22" t="s">
        <v>2136</v>
      </c>
      <c r="G97" s="22" t="s">
        <v>2136</v>
      </c>
      <c r="H97" s="22" t="s">
        <v>2157</v>
      </c>
      <c r="I97" s="22">
        <v>126</v>
      </c>
      <c r="P97" s="22" t="s">
        <v>71</v>
      </c>
      <c r="Q97" s="22">
        <v>126</v>
      </c>
    </row>
    <row r="98" s="12" customFormat="1" spans="1:17">
      <c r="A98" s="22" t="s">
        <v>181</v>
      </c>
      <c r="B98" s="22" t="s">
        <v>1879</v>
      </c>
      <c r="C98" s="22" t="s">
        <v>2218</v>
      </c>
      <c r="D98" s="22" t="s">
        <v>2134</v>
      </c>
      <c r="E98" s="22" t="s">
        <v>2156</v>
      </c>
      <c r="F98" s="22" t="s">
        <v>2136</v>
      </c>
      <c r="G98" s="22" t="s">
        <v>2136</v>
      </c>
      <c r="H98" s="22" t="s">
        <v>2157</v>
      </c>
      <c r="I98" s="22">
        <v>126</v>
      </c>
      <c r="P98" s="22" t="s">
        <v>181</v>
      </c>
      <c r="Q98" s="22">
        <v>126</v>
      </c>
    </row>
    <row r="99" s="12" customFormat="1" spans="1:17">
      <c r="A99" s="22" t="s">
        <v>34</v>
      </c>
      <c r="B99" s="22" t="s">
        <v>1891</v>
      </c>
      <c r="C99" s="22" t="s">
        <v>2219</v>
      </c>
      <c r="D99" s="22" t="s">
        <v>2134</v>
      </c>
      <c r="E99" s="22" t="s">
        <v>2156</v>
      </c>
      <c r="F99" s="22" t="s">
        <v>2136</v>
      </c>
      <c r="G99" s="22" t="s">
        <v>2136</v>
      </c>
      <c r="H99" s="22" t="s">
        <v>2157</v>
      </c>
      <c r="I99" s="22">
        <v>126</v>
      </c>
      <c r="P99" s="22" t="s">
        <v>34</v>
      </c>
      <c r="Q99" s="22">
        <v>126</v>
      </c>
    </row>
    <row r="100" s="12" customFormat="1" spans="1:17">
      <c r="A100" s="12" t="s">
        <v>1930</v>
      </c>
    </row>
    <row r="104" s="12" customFormat="1" spans="1:17">
      <c r="A104" s="12" t="s">
        <v>194</v>
      </c>
    </row>
    <row r="105" s="12" customFormat="1" ht="13.5" spans="1:17">
      <c r="A105" s="23" t="s">
        <v>277</v>
      </c>
      <c r="B105" s="23" t="s">
        <v>2127</v>
      </c>
      <c r="C105" s="23" t="s">
        <v>1</v>
      </c>
      <c r="D105" s="23" t="s">
        <v>2220</v>
      </c>
      <c r="E105" s="23" t="s">
        <v>2221</v>
      </c>
      <c r="F105" s="24" t="s">
        <v>2222</v>
      </c>
      <c r="G105" s="19" t="s">
        <v>1978</v>
      </c>
      <c r="P105" s="23" t="s">
        <v>1</v>
      </c>
      <c r="Q105" s="25" t="s">
        <v>1978</v>
      </c>
    </row>
    <row r="106" s="12" customFormat="1" ht="13.5" spans="1:17">
      <c r="A106" s="26" t="s">
        <v>1748</v>
      </c>
      <c r="B106" s="26" t="s">
        <v>2223</v>
      </c>
      <c r="C106" s="26" t="s">
        <v>197</v>
      </c>
      <c r="D106" s="26" t="s">
        <v>2224</v>
      </c>
      <c r="E106" s="27" t="s">
        <v>2225</v>
      </c>
      <c r="F106" s="28" t="s">
        <v>2226</v>
      </c>
      <c r="G106" s="29">
        <f>E106*0.5</f>
        <v>110</v>
      </c>
      <c r="P106" s="26" t="s">
        <v>197</v>
      </c>
      <c r="Q106" s="30">
        <v>110</v>
      </c>
    </row>
    <row r="107" s="12" customFormat="1" ht="13.5" spans="1:17">
      <c r="A107" s="26" t="s">
        <v>1768</v>
      </c>
      <c r="B107" s="26" t="s">
        <v>2227</v>
      </c>
      <c r="C107" s="26" t="s">
        <v>193</v>
      </c>
      <c r="D107" s="26" t="s">
        <v>2224</v>
      </c>
      <c r="E107" s="27" t="s">
        <v>2225</v>
      </c>
      <c r="F107" s="28" t="s">
        <v>2226</v>
      </c>
      <c r="G107" s="29">
        <f>E107*0.5</f>
        <v>110</v>
      </c>
      <c r="P107" s="26" t="s">
        <v>193</v>
      </c>
      <c r="Q107" s="30">
        <v>110</v>
      </c>
    </row>
    <row r="108" s="12" customFormat="1" ht="13.5" spans="1:17">
      <c r="A108" s="26" t="s">
        <v>1819</v>
      </c>
      <c r="B108" s="26" t="s">
        <v>2228</v>
      </c>
      <c r="C108" s="26" t="s">
        <v>199</v>
      </c>
      <c r="D108" s="26" t="s">
        <v>2224</v>
      </c>
      <c r="E108" s="27" t="s">
        <v>2225</v>
      </c>
      <c r="F108" s="28" t="s">
        <v>2226</v>
      </c>
      <c r="G108" s="29">
        <f>E108*0.5</f>
        <v>110</v>
      </c>
      <c r="P108" s="26" t="s">
        <v>199</v>
      </c>
      <c r="Q108" s="30">
        <v>110</v>
      </c>
    </row>
    <row r="109" s="12" customFormat="1" ht="13.5" spans="1:17">
      <c r="A109" s="26" t="s">
        <v>1822</v>
      </c>
      <c r="B109" s="26" t="s">
        <v>2229</v>
      </c>
      <c r="C109" s="26" t="s">
        <v>201</v>
      </c>
      <c r="D109" s="26" t="s">
        <v>2224</v>
      </c>
      <c r="E109" s="27" t="s">
        <v>2225</v>
      </c>
      <c r="F109" s="28" t="s">
        <v>2226</v>
      </c>
      <c r="G109" s="29">
        <f>E109*0.5</f>
        <v>110</v>
      </c>
      <c r="P109" s="26" t="s">
        <v>201</v>
      </c>
      <c r="Q109" s="30">
        <v>110</v>
      </c>
    </row>
    <row r="110" s="12" customFormat="1" ht="13.5" spans="1:17">
      <c r="A110" s="31" t="s">
        <v>1824</v>
      </c>
      <c r="B110" s="31" t="s">
        <v>2230</v>
      </c>
      <c r="C110" s="31" t="s">
        <v>203</v>
      </c>
      <c r="D110" s="31" t="s">
        <v>2224</v>
      </c>
      <c r="E110" s="32" t="s">
        <v>2225</v>
      </c>
      <c r="F110" s="33" t="s">
        <v>2226</v>
      </c>
      <c r="G110" s="29">
        <f>E110*0.5</f>
        <v>110</v>
      </c>
      <c r="P110" s="31" t="s">
        <v>203</v>
      </c>
      <c r="Q110" s="30">
        <v>110</v>
      </c>
    </row>
    <row r="113" s="12" customFormat="1" spans="1:17">
      <c r="A113" s="12" t="s">
        <v>206</v>
      </c>
    </row>
    <row r="114" s="13" customFormat="1" ht="22.5" spans="1:17">
      <c r="A114" s="34" t="s">
        <v>2231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</row>
    <row r="115" s="14" customFormat="1" ht="27" customHeight="1" spans="1:17">
      <c r="A115" s="35" t="s">
        <v>277</v>
      </c>
      <c r="B115" s="35" t="s">
        <v>2030</v>
      </c>
      <c r="C115" s="35" t="s">
        <v>2232</v>
      </c>
      <c r="D115" s="35" t="s">
        <v>2233</v>
      </c>
      <c r="E115" s="35" t="s">
        <v>2127</v>
      </c>
      <c r="F115" s="35" t="s">
        <v>1</v>
      </c>
      <c r="G115" s="35" t="s">
        <v>1741</v>
      </c>
      <c r="H115" s="35" t="s">
        <v>2234</v>
      </c>
      <c r="I115" s="35" t="s">
        <v>2130</v>
      </c>
      <c r="J115" s="35" t="s">
        <v>2131</v>
      </c>
      <c r="K115" s="35" t="s">
        <v>2235</v>
      </c>
      <c r="L115" s="36" t="s">
        <v>2028</v>
      </c>
      <c r="P115" s="35" t="s">
        <v>1</v>
      </c>
      <c r="Q115" s="36" t="s">
        <v>2028</v>
      </c>
    </row>
    <row r="116" s="15" customFormat="1" ht="21" customHeight="1" spans="1:17">
      <c r="A116" s="35">
        <v>1</v>
      </c>
      <c r="B116" s="35" t="s">
        <v>2032</v>
      </c>
      <c r="C116" s="35">
        <v>2726356</v>
      </c>
      <c r="D116" s="35">
        <v>202604</v>
      </c>
      <c r="E116" s="35" t="s">
        <v>2236</v>
      </c>
      <c r="F116" s="35" t="s">
        <v>266</v>
      </c>
      <c r="G116" s="35" t="s">
        <v>2031</v>
      </c>
      <c r="H116" s="35">
        <v>3000</v>
      </c>
      <c r="I116" s="35">
        <v>0.05</v>
      </c>
      <c r="J116" s="35">
        <v>0.05</v>
      </c>
      <c r="K116" s="35">
        <f t="shared" ref="K116:K131" si="0">H116*I116</f>
        <v>150</v>
      </c>
      <c r="L116" s="35">
        <f t="shared" ref="L116:L131" si="1">H116*J116</f>
        <v>150</v>
      </c>
      <c r="P116" s="35" t="s">
        <v>266</v>
      </c>
      <c r="Q116" s="35">
        <v>150</v>
      </c>
    </row>
    <row r="117" s="15" customFormat="1" ht="21" customHeight="1" spans="1:17">
      <c r="A117" s="35">
        <v>2</v>
      </c>
      <c r="B117" s="35" t="s">
        <v>2032</v>
      </c>
      <c r="C117" s="35">
        <v>2726356</v>
      </c>
      <c r="D117" s="35">
        <v>202604</v>
      </c>
      <c r="E117" s="35" t="s">
        <v>2237</v>
      </c>
      <c r="F117" s="35" t="s">
        <v>216</v>
      </c>
      <c r="G117" s="35" t="s">
        <v>2033</v>
      </c>
      <c r="H117" s="35">
        <v>2500</v>
      </c>
      <c r="I117" s="35">
        <v>0.05</v>
      </c>
      <c r="J117" s="35">
        <v>0.05</v>
      </c>
      <c r="K117" s="35">
        <f t="shared" si="0"/>
        <v>125</v>
      </c>
      <c r="L117" s="35">
        <f t="shared" si="1"/>
        <v>125</v>
      </c>
      <c r="P117" s="35" t="s">
        <v>216</v>
      </c>
      <c r="Q117" s="35">
        <v>125</v>
      </c>
    </row>
    <row r="118" s="15" customFormat="1" ht="21" customHeight="1" spans="1:17">
      <c r="A118" s="35">
        <v>3</v>
      </c>
      <c r="B118" s="35" t="s">
        <v>2032</v>
      </c>
      <c r="C118" s="35">
        <v>2726356</v>
      </c>
      <c r="D118" s="35">
        <v>202604</v>
      </c>
      <c r="E118" s="37" t="s">
        <v>2238</v>
      </c>
      <c r="F118" s="37" t="s">
        <v>223</v>
      </c>
      <c r="G118" s="37" t="s">
        <v>2034</v>
      </c>
      <c r="H118" s="35">
        <v>2400</v>
      </c>
      <c r="I118" s="35">
        <v>0.05</v>
      </c>
      <c r="J118" s="35">
        <v>0.05</v>
      </c>
      <c r="K118" s="35">
        <f t="shared" si="0"/>
        <v>120</v>
      </c>
      <c r="L118" s="35">
        <f t="shared" si="1"/>
        <v>120</v>
      </c>
      <c r="P118" s="37" t="s">
        <v>223</v>
      </c>
      <c r="Q118" s="35">
        <v>120</v>
      </c>
    </row>
    <row r="119" s="15" customFormat="1" ht="21" customHeight="1" spans="1:17">
      <c r="A119" s="35">
        <v>4</v>
      </c>
      <c r="B119" s="35" t="s">
        <v>2032</v>
      </c>
      <c r="C119" s="35">
        <v>2726356</v>
      </c>
      <c r="D119" s="35">
        <v>202604</v>
      </c>
      <c r="E119" s="37" t="s">
        <v>2239</v>
      </c>
      <c r="F119" s="37" t="s">
        <v>221</v>
      </c>
      <c r="G119" s="37" t="s">
        <v>2035</v>
      </c>
      <c r="H119" s="35">
        <v>2400</v>
      </c>
      <c r="I119" s="35">
        <v>0.05</v>
      </c>
      <c r="J119" s="35">
        <v>0.05</v>
      </c>
      <c r="K119" s="35">
        <f t="shared" si="0"/>
        <v>120</v>
      </c>
      <c r="L119" s="35">
        <f t="shared" si="1"/>
        <v>120</v>
      </c>
      <c r="P119" s="37" t="s">
        <v>221</v>
      </c>
      <c r="Q119" s="35">
        <v>120</v>
      </c>
    </row>
    <row r="120" s="15" customFormat="1" ht="21" customHeight="1" spans="1:17">
      <c r="A120" s="35">
        <v>5</v>
      </c>
      <c r="B120" s="35" t="s">
        <v>2032</v>
      </c>
      <c r="C120" s="35">
        <v>2726356</v>
      </c>
      <c r="D120" s="35">
        <v>202604</v>
      </c>
      <c r="E120" s="37">
        <v>846434319</v>
      </c>
      <c r="F120" s="37" t="s">
        <v>219</v>
      </c>
      <c r="G120" s="404" t="s">
        <v>2036</v>
      </c>
      <c r="H120" s="35">
        <v>2400</v>
      </c>
      <c r="I120" s="35">
        <v>0.05</v>
      </c>
      <c r="J120" s="35">
        <v>0.05</v>
      </c>
      <c r="K120" s="35">
        <f t="shared" si="0"/>
        <v>120</v>
      </c>
      <c r="L120" s="35">
        <f t="shared" si="1"/>
        <v>120</v>
      </c>
      <c r="P120" s="37" t="s">
        <v>219</v>
      </c>
      <c r="Q120" s="35">
        <v>120</v>
      </c>
    </row>
    <row r="121" s="15" customFormat="1" ht="21" customHeight="1" spans="1:17">
      <c r="A121" s="35">
        <v>6</v>
      </c>
      <c r="B121" s="35" t="s">
        <v>2032</v>
      </c>
      <c r="C121" s="35">
        <v>2726356</v>
      </c>
      <c r="D121" s="35">
        <v>202604</v>
      </c>
      <c r="E121" s="37">
        <v>846198940</v>
      </c>
      <c r="F121" s="37" t="s">
        <v>205</v>
      </c>
      <c r="G121" s="404" t="s">
        <v>2037</v>
      </c>
      <c r="H121" s="35">
        <v>2400</v>
      </c>
      <c r="I121" s="35">
        <v>0.05</v>
      </c>
      <c r="J121" s="35">
        <v>0.05</v>
      </c>
      <c r="K121" s="35">
        <f t="shared" si="0"/>
        <v>120</v>
      </c>
      <c r="L121" s="35">
        <f t="shared" si="1"/>
        <v>120</v>
      </c>
      <c r="P121" s="37" t="s">
        <v>205</v>
      </c>
      <c r="Q121" s="35">
        <v>120</v>
      </c>
    </row>
    <row r="122" s="15" customFormat="1" ht="21" customHeight="1" spans="1:17">
      <c r="A122" s="35">
        <v>7</v>
      </c>
      <c r="B122" s="35" t="s">
        <v>2032</v>
      </c>
      <c r="C122" s="35">
        <v>2726356</v>
      </c>
      <c r="D122" s="35">
        <v>202604</v>
      </c>
      <c r="E122" s="37" t="s">
        <v>2240</v>
      </c>
      <c r="F122" s="37" t="s">
        <v>225</v>
      </c>
      <c r="G122" s="404" t="s">
        <v>2039</v>
      </c>
      <c r="H122" s="35">
        <v>2400</v>
      </c>
      <c r="I122" s="35">
        <v>0.05</v>
      </c>
      <c r="J122" s="35">
        <v>0.05</v>
      </c>
      <c r="K122" s="35">
        <f t="shared" si="0"/>
        <v>120</v>
      </c>
      <c r="L122" s="35">
        <f t="shared" si="1"/>
        <v>120</v>
      </c>
      <c r="P122" s="37" t="s">
        <v>225</v>
      </c>
      <c r="Q122" s="35">
        <v>120</v>
      </c>
    </row>
    <row r="123" s="15" customFormat="1" ht="21" customHeight="1" spans="1:17">
      <c r="A123" s="35">
        <v>8</v>
      </c>
      <c r="B123" s="35" t="s">
        <v>2032</v>
      </c>
      <c r="C123" s="35">
        <v>2726356</v>
      </c>
      <c r="D123" s="35">
        <v>202604</v>
      </c>
      <c r="E123" s="37" t="s">
        <v>2241</v>
      </c>
      <c r="F123" s="37" t="s">
        <v>214</v>
      </c>
      <c r="G123" s="404" t="s">
        <v>2040</v>
      </c>
      <c r="H123" s="35">
        <v>2400</v>
      </c>
      <c r="I123" s="35">
        <v>0.05</v>
      </c>
      <c r="J123" s="35">
        <v>0.05</v>
      </c>
      <c r="K123" s="35">
        <f t="shared" si="0"/>
        <v>120</v>
      </c>
      <c r="L123" s="35">
        <f t="shared" si="1"/>
        <v>120</v>
      </c>
      <c r="P123" s="37" t="s">
        <v>214</v>
      </c>
      <c r="Q123" s="35">
        <v>120</v>
      </c>
    </row>
    <row r="124" s="15" customFormat="1" ht="21" customHeight="1" spans="1:17">
      <c r="A124" s="35">
        <v>9</v>
      </c>
      <c r="B124" s="35" t="s">
        <v>2032</v>
      </c>
      <c r="C124" s="35">
        <v>2726356</v>
      </c>
      <c r="D124" s="35">
        <v>202604</v>
      </c>
      <c r="E124" s="37" t="s">
        <v>2242</v>
      </c>
      <c r="F124" s="37" t="s">
        <v>212</v>
      </c>
      <c r="G124" s="404" t="s">
        <v>2041</v>
      </c>
      <c r="H124" s="35">
        <v>2400</v>
      </c>
      <c r="I124" s="35">
        <v>0.05</v>
      </c>
      <c r="J124" s="35">
        <v>0.05</v>
      </c>
      <c r="K124" s="35">
        <f t="shared" si="0"/>
        <v>120</v>
      </c>
      <c r="L124" s="35">
        <f t="shared" si="1"/>
        <v>120</v>
      </c>
      <c r="P124" s="37" t="s">
        <v>212</v>
      </c>
      <c r="Q124" s="35">
        <v>120</v>
      </c>
    </row>
    <row r="125" s="15" customFormat="1" ht="21" customHeight="1" spans="1:17">
      <c r="A125" s="35">
        <v>10</v>
      </c>
      <c r="B125" s="35" t="s">
        <v>2032</v>
      </c>
      <c r="C125" s="35">
        <v>2726356</v>
      </c>
      <c r="D125" s="35">
        <v>202604</v>
      </c>
      <c r="E125" s="37">
        <v>845323119</v>
      </c>
      <c r="F125" s="37" t="s">
        <v>227</v>
      </c>
      <c r="G125" s="404" t="s">
        <v>2042</v>
      </c>
      <c r="H125" s="35">
        <v>2400</v>
      </c>
      <c r="I125" s="35">
        <v>0.05</v>
      </c>
      <c r="J125" s="35">
        <v>0.05</v>
      </c>
      <c r="K125" s="35">
        <f t="shared" si="0"/>
        <v>120</v>
      </c>
      <c r="L125" s="35">
        <f t="shared" si="1"/>
        <v>120</v>
      </c>
      <c r="P125" s="37" t="s">
        <v>227</v>
      </c>
      <c r="Q125" s="35">
        <v>120</v>
      </c>
    </row>
    <row r="126" s="15" customFormat="1" ht="21" customHeight="1" spans="1:17">
      <c r="A126" s="35">
        <v>11</v>
      </c>
      <c r="B126" s="35" t="s">
        <v>2032</v>
      </c>
      <c r="C126" s="35">
        <v>2726356</v>
      </c>
      <c r="D126" s="35">
        <v>202604</v>
      </c>
      <c r="E126" s="37">
        <v>848130441</v>
      </c>
      <c r="F126" s="37" t="s">
        <v>208</v>
      </c>
      <c r="G126" s="404" t="s">
        <v>2043</v>
      </c>
      <c r="H126" s="35">
        <v>2400</v>
      </c>
      <c r="I126" s="35">
        <v>0.05</v>
      </c>
      <c r="J126" s="35">
        <v>0.05</v>
      </c>
      <c r="K126" s="35">
        <f t="shared" si="0"/>
        <v>120</v>
      </c>
      <c r="L126" s="35">
        <f t="shared" si="1"/>
        <v>120</v>
      </c>
      <c r="P126" s="37" t="s">
        <v>208</v>
      </c>
      <c r="Q126" s="35">
        <v>120</v>
      </c>
    </row>
    <row r="127" s="15" customFormat="1" ht="21" customHeight="1" spans="1:17">
      <c r="A127" s="35">
        <v>12</v>
      </c>
      <c r="B127" s="35" t="s">
        <v>2045</v>
      </c>
      <c r="C127" s="35">
        <v>2756657</v>
      </c>
      <c r="D127" s="35">
        <v>202604</v>
      </c>
      <c r="E127" s="35">
        <v>841258568</v>
      </c>
      <c r="F127" s="35" t="s">
        <v>210</v>
      </c>
      <c r="G127" s="403" t="s">
        <v>2044</v>
      </c>
      <c r="H127" s="35">
        <v>2400</v>
      </c>
      <c r="I127" s="35">
        <v>0.05</v>
      </c>
      <c r="J127" s="35">
        <v>0.05</v>
      </c>
      <c r="K127" s="35">
        <f t="shared" si="0"/>
        <v>120</v>
      </c>
      <c r="L127" s="35">
        <f t="shared" si="1"/>
        <v>120</v>
      </c>
      <c r="P127" s="35" t="s">
        <v>210</v>
      </c>
      <c r="Q127" s="35">
        <v>120</v>
      </c>
    </row>
    <row r="128" s="15" customFormat="1" ht="21" customHeight="1" spans="1:17">
      <c r="A128" s="35">
        <v>13</v>
      </c>
      <c r="B128" s="35" t="s">
        <v>2045</v>
      </c>
      <c r="C128" s="35">
        <v>2756657</v>
      </c>
      <c r="D128" s="35">
        <v>202604</v>
      </c>
      <c r="E128" s="35" t="s">
        <v>2243</v>
      </c>
      <c r="F128" s="35" t="s">
        <v>236</v>
      </c>
      <c r="G128" s="35" t="s">
        <v>2046</v>
      </c>
      <c r="H128" s="35">
        <v>2500</v>
      </c>
      <c r="I128" s="35">
        <v>0.05</v>
      </c>
      <c r="J128" s="35">
        <v>0.05</v>
      </c>
      <c r="K128" s="35">
        <f t="shared" si="0"/>
        <v>125</v>
      </c>
      <c r="L128" s="35">
        <f t="shared" si="1"/>
        <v>125</v>
      </c>
      <c r="P128" s="35" t="s">
        <v>236</v>
      </c>
      <c r="Q128" s="35">
        <v>125</v>
      </c>
    </row>
    <row r="129" s="15" customFormat="1" ht="21" customHeight="1" spans="1:21">
      <c r="A129" s="35">
        <v>14</v>
      </c>
      <c r="B129" s="35" t="s">
        <v>2045</v>
      </c>
      <c r="C129" s="35">
        <v>2756657</v>
      </c>
      <c r="D129" s="35">
        <v>202604</v>
      </c>
      <c r="E129" s="37">
        <v>845912608</v>
      </c>
      <c r="F129" s="37" t="s">
        <v>229</v>
      </c>
      <c r="G129" s="404" t="s">
        <v>2047</v>
      </c>
      <c r="H129" s="35">
        <v>2400</v>
      </c>
      <c r="I129" s="35">
        <v>0.05</v>
      </c>
      <c r="J129" s="35">
        <v>0.05</v>
      </c>
      <c r="K129" s="35">
        <f t="shared" si="0"/>
        <v>120</v>
      </c>
      <c r="L129" s="35">
        <f t="shared" si="1"/>
        <v>120</v>
      </c>
      <c r="P129" s="37" t="s">
        <v>229</v>
      </c>
      <c r="Q129" s="35">
        <v>120</v>
      </c>
    </row>
    <row r="130" s="15" customFormat="1" ht="21" customHeight="1" spans="1:21">
      <c r="A130" s="35">
        <v>15</v>
      </c>
      <c r="B130" s="35" t="s">
        <v>2045</v>
      </c>
      <c r="C130" s="35">
        <v>2756657</v>
      </c>
      <c r="D130" s="35">
        <v>202604</v>
      </c>
      <c r="E130" s="37" t="s">
        <v>2244</v>
      </c>
      <c r="F130" s="37" t="s">
        <v>231</v>
      </c>
      <c r="G130" s="404" t="s">
        <v>2048</v>
      </c>
      <c r="H130" s="35">
        <v>2400</v>
      </c>
      <c r="I130" s="35">
        <v>0.05</v>
      </c>
      <c r="J130" s="35">
        <v>0.05</v>
      </c>
      <c r="K130" s="35">
        <f t="shared" si="0"/>
        <v>120</v>
      </c>
      <c r="L130" s="35">
        <f t="shared" si="1"/>
        <v>120</v>
      </c>
      <c r="P130" s="37" t="s">
        <v>231</v>
      </c>
      <c r="Q130" s="35">
        <v>120</v>
      </c>
    </row>
    <row r="131" s="15" customFormat="1" ht="21" customHeight="1" spans="1:21">
      <c r="A131" s="35">
        <v>16</v>
      </c>
      <c r="B131" s="35" t="s">
        <v>2045</v>
      </c>
      <c r="C131" s="35">
        <v>2756657</v>
      </c>
      <c r="D131" s="35">
        <v>202604</v>
      </c>
      <c r="E131" s="37" t="s">
        <v>2245</v>
      </c>
      <c r="F131" s="37" t="s">
        <v>233</v>
      </c>
      <c r="G131" s="405" t="s">
        <v>2049</v>
      </c>
      <c r="H131" s="35">
        <v>2400</v>
      </c>
      <c r="I131" s="35">
        <v>0.05</v>
      </c>
      <c r="J131" s="35">
        <v>0.05</v>
      </c>
      <c r="K131" s="35">
        <f t="shared" si="0"/>
        <v>120</v>
      </c>
      <c r="L131" s="35">
        <f t="shared" si="1"/>
        <v>120</v>
      </c>
      <c r="P131" s="37" t="s">
        <v>233</v>
      </c>
      <c r="Q131" s="35">
        <v>120</v>
      </c>
    </row>
    <row r="132" s="15" customFormat="1" ht="21" customHeight="1" spans="1:21">
      <c r="A132" s="39" t="s">
        <v>2050</v>
      </c>
      <c r="B132" s="40"/>
      <c r="C132" s="40"/>
      <c r="D132" s="40"/>
      <c r="E132" s="40"/>
      <c r="F132" s="40"/>
      <c r="G132" s="40"/>
      <c r="H132" s="40"/>
      <c r="I132" s="40"/>
      <c r="J132" s="41"/>
      <c r="K132" s="35">
        <f>SUM(K116:K131)</f>
        <v>1960</v>
      </c>
      <c r="L132" s="35">
        <f>SUM(L116:L131)</f>
        <v>1960</v>
      </c>
    </row>
    <row r="133" s="15" customFormat="1" ht="6" customHeight="1"/>
    <row r="134" s="15" customFormat="1" ht="37" customHeight="1" spans="1:21">
      <c r="A134" s="42" t="s">
        <v>2246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3"/>
      <c r="N134" s="43"/>
      <c r="O134" s="43"/>
      <c r="P134" s="43"/>
      <c r="Q134" s="43"/>
      <c r="R134" s="43"/>
      <c r="S134" s="43"/>
      <c r="T134" s="43"/>
      <c r="U134" s="43"/>
    </row>
    <row r="137" s="12" customFormat="1" spans="1:21">
      <c r="A137" s="12" t="s">
        <v>243</v>
      </c>
    </row>
    <row r="138" s="16" customFormat="1" ht="26" customHeight="1" spans="1:21">
      <c r="A138" s="44" t="s">
        <v>2247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</row>
    <row r="139" s="17" customFormat="1" ht="26" customHeight="1" spans="1:21">
      <c r="A139" s="46" t="s">
        <v>277</v>
      </c>
      <c r="B139" s="46" t="s">
        <v>2030</v>
      </c>
      <c r="C139" s="46" t="s">
        <v>2232</v>
      </c>
      <c r="D139" s="46" t="s">
        <v>2233</v>
      </c>
      <c r="E139" s="46" t="s">
        <v>2127</v>
      </c>
      <c r="F139" s="46" t="s">
        <v>1</v>
      </c>
      <c r="G139" s="46" t="s">
        <v>1741</v>
      </c>
      <c r="H139" s="46" t="s">
        <v>2234</v>
      </c>
      <c r="I139" s="46" t="s">
        <v>2130</v>
      </c>
      <c r="J139" s="46" t="s">
        <v>2131</v>
      </c>
      <c r="K139" s="46" t="s">
        <v>2248</v>
      </c>
      <c r="L139" s="46" t="s">
        <v>2029</v>
      </c>
      <c r="M139" s="47" t="s">
        <v>2028</v>
      </c>
      <c r="N139" s="46" t="s">
        <v>23</v>
      </c>
      <c r="P139" s="46" t="s">
        <v>1</v>
      </c>
      <c r="Q139" s="36" t="s">
        <v>2028</v>
      </c>
    </row>
    <row r="140" s="16" customFormat="1" ht="26" customHeight="1" spans="1:21">
      <c r="A140" s="48">
        <v>1</v>
      </c>
      <c r="B140" s="48" t="s">
        <v>2057</v>
      </c>
      <c r="C140" s="406" t="s">
        <v>2249</v>
      </c>
      <c r="D140" s="49">
        <v>46113</v>
      </c>
      <c r="E140" s="406" t="s">
        <v>2250</v>
      </c>
      <c r="F140" s="48" t="s">
        <v>242</v>
      </c>
      <c r="G140" s="406" t="s">
        <v>2056</v>
      </c>
      <c r="H140" s="48">
        <v>2100</v>
      </c>
      <c r="I140" s="50">
        <v>0.05</v>
      </c>
      <c r="J140" s="50">
        <v>0.05</v>
      </c>
      <c r="K140" s="48">
        <v>210</v>
      </c>
      <c r="L140" s="48">
        <f>H140*I140</f>
        <v>105</v>
      </c>
      <c r="M140" s="48">
        <f>H140*J140</f>
        <v>105</v>
      </c>
      <c r="N140" s="30"/>
      <c r="P140" s="48" t="s">
        <v>242</v>
      </c>
      <c r="Q140" s="30">
        <v>105</v>
      </c>
    </row>
    <row r="141" s="16" customFormat="1" ht="26" customHeight="1" spans="1:21">
      <c r="A141" s="48">
        <v>2</v>
      </c>
      <c r="B141" s="48" t="s">
        <v>2057</v>
      </c>
      <c r="C141" s="406" t="s">
        <v>2249</v>
      </c>
      <c r="D141" s="49">
        <v>46113</v>
      </c>
      <c r="E141" s="406" t="s">
        <v>2251</v>
      </c>
      <c r="F141" s="48" t="s">
        <v>166</v>
      </c>
      <c r="G141" s="406" t="s">
        <v>2058</v>
      </c>
      <c r="H141" s="48">
        <v>2100</v>
      </c>
      <c r="I141" s="50">
        <v>0.05</v>
      </c>
      <c r="J141" s="50">
        <v>0.05</v>
      </c>
      <c r="K141" s="48">
        <v>210</v>
      </c>
      <c r="L141" s="48">
        <f>H141*I141</f>
        <v>105</v>
      </c>
      <c r="M141" s="48">
        <f>H141*J141</f>
        <v>105</v>
      </c>
      <c r="N141" s="30"/>
      <c r="P141" s="48" t="s">
        <v>166</v>
      </c>
      <c r="Q141" s="30">
        <v>105</v>
      </c>
    </row>
    <row r="142" s="16" customFormat="1" ht="26" customHeight="1" spans="1:21">
      <c r="A142" s="48">
        <v>3</v>
      </c>
      <c r="B142" s="48" t="s">
        <v>2057</v>
      </c>
      <c r="C142" s="406" t="s">
        <v>2249</v>
      </c>
      <c r="D142" s="49">
        <v>46113</v>
      </c>
      <c r="E142" s="51" t="s">
        <v>2252</v>
      </c>
      <c r="F142" s="52" t="s">
        <v>245</v>
      </c>
      <c r="G142" s="52" t="s">
        <v>2059</v>
      </c>
      <c r="H142" s="48">
        <v>2100</v>
      </c>
      <c r="I142" s="50">
        <v>0.05</v>
      </c>
      <c r="J142" s="50">
        <v>0.05</v>
      </c>
      <c r="K142" s="48">
        <v>210</v>
      </c>
      <c r="L142" s="48">
        <f>H142*I142</f>
        <v>105</v>
      </c>
      <c r="M142" s="48">
        <f>H142*J142</f>
        <v>105</v>
      </c>
      <c r="N142" s="53"/>
      <c r="P142" s="52" t="s">
        <v>245</v>
      </c>
      <c r="Q142" s="30">
        <v>105</v>
      </c>
    </row>
    <row r="143" s="16" customFormat="1" ht="26" customHeight="1" spans="1:21">
      <c r="A143" s="48" t="s">
        <v>2050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48">
        <f>SUM(K140:K142)</f>
        <v>630</v>
      </c>
      <c r="L143" s="48">
        <f>SUM(L140:L142)</f>
        <v>315</v>
      </c>
      <c r="M143" s="48">
        <f>SUM(M140:M142)</f>
        <v>315</v>
      </c>
      <c r="N143" s="30"/>
    </row>
    <row r="146" s="12" customFormat="1" spans="1:17">
      <c r="A146" s="12" t="s">
        <v>2253</v>
      </c>
    </row>
    <row r="148" s="18" customFormat="1" ht="38" customHeight="1" spans="1:17">
      <c r="A148" s="54" t="s">
        <v>2015</v>
      </c>
      <c r="B148" s="55" t="s">
        <v>2015</v>
      </c>
      <c r="C148" s="54" t="s">
        <v>2254</v>
      </c>
      <c r="D148" s="54"/>
      <c r="E148" s="54"/>
      <c r="F148" s="54"/>
      <c r="G148" s="54"/>
      <c r="H148" s="54"/>
      <c r="I148" s="54"/>
      <c r="J148" s="55" t="s">
        <v>2015</v>
      </c>
      <c r="K148" s="55" t="s">
        <v>2015</v>
      </c>
      <c r="L148" s="55" t="s">
        <v>2015</v>
      </c>
    </row>
    <row r="149" s="18" customFormat="1" ht="20" customHeight="1" spans="1:17">
      <c r="A149" s="56" t="s">
        <v>2015</v>
      </c>
      <c r="B149" s="56" t="s">
        <v>2015</v>
      </c>
      <c r="C149" s="56" t="s">
        <v>2015</v>
      </c>
      <c r="D149" s="56" t="s">
        <v>2015</v>
      </c>
      <c r="E149" s="56" t="s">
        <v>2015</v>
      </c>
      <c r="F149" s="56" t="s">
        <v>2015</v>
      </c>
      <c r="G149" s="56" t="s">
        <v>2015</v>
      </c>
      <c r="H149" s="56" t="s">
        <v>2015</v>
      </c>
      <c r="I149" s="56" t="s">
        <v>2015</v>
      </c>
      <c r="J149" s="56" t="s">
        <v>2015</v>
      </c>
      <c r="K149" s="56" t="s">
        <v>2015</v>
      </c>
      <c r="L149" s="56" t="s">
        <v>2015</v>
      </c>
    </row>
    <row r="150" s="18" customFormat="1" ht="19" customHeight="1" spans="1:17">
      <c r="A150" s="57" t="s">
        <v>277</v>
      </c>
      <c r="B150" s="57" t="s">
        <v>2127</v>
      </c>
      <c r="C150" s="57" t="s">
        <v>1</v>
      </c>
      <c r="D150" s="57" t="s">
        <v>2074</v>
      </c>
      <c r="E150" s="57" t="s">
        <v>1741</v>
      </c>
      <c r="F150" s="57" t="s">
        <v>2234</v>
      </c>
      <c r="G150" s="57" t="s">
        <v>2130</v>
      </c>
      <c r="H150" s="57" t="s">
        <v>2131</v>
      </c>
      <c r="I150" s="57" t="s">
        <v>2255</v>
      </c>
      <c r="J150" s="58" t="s">
        <v>2256</v>
      </c>
      <c r="K150" s="57" t="s">
        <v>2257</v>
      </c>
      <c r="L150" s="57" t="s">
        <v>2258</v>
      </c>
      <c r="P150" s="57" t="s">
        <v>1</v>
      </c>
      <c r="Q150" s="58" t="s">
        <v>2256</v>
      </c>
    </row>
    <row r="151" s="18" customFormat="1" ht="20" customHeight="1" spans="1:17">
      <c r="A151" s="59">
        <v>1</v>
      </c>
      <c r="B151" s="60" t="s">
        <v>2259</v>
      </c>
      <c r="C151" s="60" t="s">
        <v>162</v>
      </c>
      <c r="D151" s="60" t="s">
        <v>2260</v>
      </c>
      <c r="E151" s="60" t="s">
        <v>2086</v>
      </c>
      <c r="F151" s="61">
        <v>2080</v>
      </c>
      <c r="G151" s="60" t="s">
        <v>2261</v>
      </c>
      <c r="H151" s="60" t="s">
        <v>2261</v>
      </c>
      <c r="I151" s="61">
        <v>104</v>
      </c>
      <c r="J151" s="61">
        <v>104</v>
      </c>
      <c r="K151" s="61">
        <v>208</v>
      </c>
      <c r="L151" s="60" t="s">
        <v>1750</v>
      </c>
      <c r="P151" s="60" t="s">
        <v>162</v>
      </c>
      <c r="Q151" s="61">
        <v>104</v>
      </c>
    </row>
    <row r="152" s="18" customFormat="1" ht="20" customHeight="1" spans="1:17">
      <c r="A152" s="59">
        <v>2</v>
      </c>
      <c r="B152" s="60" t="s">
        <v>2262</v>
      </c>
      <c r="C152" s="60" t="s">
        <v>164</v>
      </c>
      <c r="D152" s="60" t="s">
        <v>2260</v>
      </c>
      <c r="E152" s="60" t="s">
        <v>2097</v>
      </c>
      <c r="F152" s="61">
        <v>2080</v>
      </c>
      <c r="G152" s="60" t="s">
        <v>2261</v>
      </c>
      <c r="H152" s="60" t="s">
        <v>2261</v>
      </c>
      <c r="I152" s="61">
        <v>104</v>
      </c>
      <c r="J152" s="61">
        <v>104</v>
      </c>
      <c r="K152" s="61">
        <v>208</v>
      </c>
      <c r="L152" s="60" t="s">
        <v>1750</v>
      </c>
      <c r="P152" s="60" t="s">
        <v>164</v>
      </c>
      <c r="Q152" s="61">
        <v>104</v>
      </c>
    </row>
  </sheetData>
  <mergeCells count="19">
    <mergeCell ref="A1:I1"/>
    <mergeCell ref="A2:I2"/>
    <mergeCell ref="A8:I8"/>
    <mergeCell ref="A9:I9"/>
    <mergeCell ref="A14:I14"/>
    <mergeCell ref="A15:I15"/>
    <mergeCell ref="A30:I30"/>
    <mergeCell ref="A31:I31"/>
    <mergeCell ref="A44:I44"/>
    <mergeCell ref="A45:I45"/>
    <mergeCell ref="A50:I50"/>
    <mergeCell ref="A51:I51"/>
    <mergeCell ref="A71:I71"/>
    <mergeCell ref="A72:I72"/>
    <mergeCell ref="A114:L114"/>
    <mergeCell ref="A132:J132"/>
    <mergeCell ref="A134:L134"/>
    <mergeCell ref="A138:N138"/>
    <mergeCell ref="C148:I14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workbookViewId="0">
      <selection activeCell="A1" sqref="$A1:$XFD1048576"/>
    </sheetView>
  </sheetViews>
  <sheetFormatPr defaultColWidth="9" defaultRowHeight="13.5" outlineLevelCol="1"/>
  <sheetData>
    <row r="1" spans="1:2">
      <c r="A1" s="1" t="s">
        <v>1</v>
      </c>
      <c r="B1" s="2" t="s">
        <v>2028</v>
      </c>
    </row>
    <row r="2" spans="1:2">
      <c r="A2" s="3" t="s">
        <v>2263</v>
      </c>
      <c r="B2" s="2">
        <v>118</v>
      </c>
    </row>
    <row r="3" spans="1:2">
      <c r="A3" s="4" t="s">
        <v>253</v>
      </c>
      <c r="B3" s="2">
        <v>118</v>
      </c>
    </row>
    <row r="4" spans="1:2">
      <c r="A4" s="4" t="s">
        <v>258</v>
      </c>
      <c r="B4" s="2">
        <v>118</v>
      </c>
    </row>
    <row r="5" spans="1:2">
      <c r="A5" s="4" t="s">
        <v>2264</v>
      </c>
      <c r="B5" s="2">
        <v>118</v>
      </c>
    </row>
    <row r="6" spans="1:2">
      <c r="A6" s="4" t="s">
        <v>2265</v>
      </c>
      <c r="B6" s="2">
        <v>118</v>
      </c>
    </row>
    <row r="7" spans="1:2">
      <c r="A7" s="4" t="s">
        <v>2266</v>
      </c>
      <c r="B7" s="2">
        <v>118</v>
      </c>
    </row>
    <row r="8" spans="1:2">
      <c r="A8" s="4" t="s">
        <v>108</v>
      </c>
      <c r="B8" s="2">
        <v>118</v>
      </c>
    </row>
    <row r="9" spans="1:2">
      <c r="A9" s="4" t="s">
        <v>82</v>
      </c>
      <c r="B9" s="2">
        <v>118</v>
      </c>
    </row>
    <row r="10" spans="1:2">
      <c r="A10" s="5" t="s">
        <v>2267</v>
      </c>
      <c r="B10" s="2">
        <v>118</v>
      </c>
    </row>
    <row r="11" spans="1:2">
      <c r="A11" s="5" t="s">
        <v>2268</v>
      </c>
      <c r="B11" s="2">
        <v>118</v>
      </c>
    </row>
    <row r="12" spans="1:2">
      <c r="A12" s="4" t="s">
        <v>252</v>
      </c>
      <c r="B12" s="2">
        <v>118</v>
      </c>
    </row>
    <row r="13" spans="1:2">
      <c r="A13" s="4" t="s">
        <v>262</v>
      </c>
      <c r="B13" s="2">
        <v>118</v>
      </c>
    </row>
    <row r="14" spans="1:2">
      <c r="A14" s="4" t="s">
        <v>250</v>
      </c>
      <c r="B14" s="2">
        <v>500</v>
      </c>
    </row>
    <row r="15" spans="1:2">
      <c r="A15" s="4" t="s">
        <v>147</v>
      </c>
      <c r="B15" s="2">
        <v>118</v>
      </c>
    </row>
    <row r="16" spans="1:2">
      <c r="A16" s="4" t="s">
        <v>87</v>
      </c>
      <c r="B16" s="2">
        <v>118</v>
      </c>
    </row>
    <row r="17" spans="1:2">
      <c r="A17" s="4" t="s">
        <v>2269</v>
      </c>
      <c r="B17" s="2">
        <v>118</v>
      </c>
    </row>
    <row r="18" spans="1:2">
      <c r="A18" s="4" t="s">
        <v>56</v>
      </c>
      <c r="B18" s="2">
        <v>118</v>
      </c>
    </row>
    <row r="19" spans="1:2">
      <c r="A19" s="4" t="s">
        <v>123</v>
      </c>
      <c r="B19" s="2">
        <v>118</v>
      </c>
    </row>
    <row r="20" spans="1:2">
      <c r="A20" s="4" t="s">
        <v>101</v>
      </c>
      <c r="B20" s="2">
        <v>118</v>
      </c>
    </row>
    <row r="21" spans="1:2">
      <c r="A21" s="4" t="s">
        <v>75</v>
      </c>
      <c r="B21" s="2">
        <v>118</v>
      </c>
    </row>
    <row r="22" spans="1:2">
      <c r="A22" s="4" t="s">
        <v>2270</v>
      </c>
      <c r="B22" s="2">
        <v>118</v>
      </c>
    </row>
    <row r="23" spans="1:2">
      <c r="A23" s="4" t="s">
        <v>134</v>
      </c>
      <c r="B23" s="2">
        <v>118</v>
      </c>
    </row>
    <row r="24" spans="1:2">
      <c r="A24" s="4" t="s">
        <v>2271</v>
      </c>
      <c r="B24" s="2">
        <v>118</v>
      </c>
    </row>
    <row r="25" spans="1:2">
      <c r="A25" s="4" t="s">
        <v>2272</v>
      </c>
      <c r="B25" s="2">
        <v>118</v>
      </c>
    </row>
    <row r="26" spans="1:2">
      <c r="A26" s="4" t="s">
        <v>2273</v>
      </c>
      <c r="B26" s="2">
        <v>118</v>
      </c>
    </row>
    <row r="27" spans="1:2">
      <c r="A27" s="4" t="s">
        <v>2274</v>
      </c>
      <c r="B27" s="2">
        <v>118</v>
      </c>
    </row>
    <row r="28" spans="1:2">
      <c r="A28" s="6" t="s">
        <v>2275</v>
      </c>
      <c r="B28" s="2">
        <v>118</v>
      </c>
    </row>
    <row r="29" spans="1:2">
      <c r="A29" s="4" t="s">
        <v>255</v>
      </c>
      <c r="B29" s="2">
        <v>118</v>
      </c>
    </row>
    <row r="30" spans="1:2">
      <c r="A30" s="4" t="s">
        <v>48</v>
      </c>
      <c r="B30" s="2">
        <v>118</v>
      </c>
    </row>
    <row r="31" spans="1:2">
      <c r="A31" s="4" t="s">
        <v>247</v>
      </c>
      <c r="B31" s="2">
        <v>500</v>
      </c>
    </row>
    <row r="32" spans="1:2">
      <c r="A32" s="4" t="s">
        <v>152</v>
      </c>
      <c r="B32" s="2">
        <v>118</v>
      </c>
    </row>
    <row r="33" spans="1:2">
      <c r="A33" s="4" t="s">
        <v>103</v>
      </c>
      <c r="B33" s="2">
        <v>118</v>
      </c>
    </row>
    <row r="34" spans="1:2">
      <c r="A34" s="4" t="s">
        <v>115</v>
      </c>
      <c r="B34" s="2">
        <v>1000</v>
      </c>
    </row>
    <row r="35" spans="1:2">
      <c r="A35" s="4" t="s">
        <v>127</v>
      </c>
      <c r="B35" s="2">
        <v>118</v>
      </c>
    </row>
    <row r="36" spans="1:2">
      <c r="A36" s="4" t="s">
        <v>2276</v>
      </c>
      <c r="B36" s="2">
        <v>118</v>
      </c>
    </row>
    <row r="37" spans="1:2">
      <c r="A37" s="4" t="s">
        <v>2277</v>
      </c>
      <c r="B37" s="2">
        <v>118</v>
      </c>
    </row>
    <row r="38" spans="1:2">
      <c r="A38" s="4" t="s">
        <v>98</v>
      </c>
      <c r="B38" s="2">
        <v>118</v>
      </c>
    </row>
    <row r="39" spans="1:2">
      <c r="A39" s="4" t="s">
        <v>106</v>
      </c>
      <c r="B39" s="2">
        <v>118</v>
      </c>
    </row>
    <row r="40" spans="1:2">
      <c r="A40" s="4" t="s">
        <v>26</v>
      </c>
      <c r="B40" s="2">
        <v>118</v>
      </c>
    </row>
    <row r="41" spans="1:2">
      <c r="A41" s="4" t="s">
        <v>2278</v>
      </c>
      <c r="B41" s="2">
        <v>118</v>
      </c>
    </row>
    <row r="42" spans="1:2">
      <c r="A42" s="4" t="s">
        <v>2279</v>
      </c>
      <c r="B42" s="2">
        <v>118</v>
      </c>
    </row>
    <row r="43" spans="1:2">
      <c r="A43" s="4" t="s">
        <v>2280</v>
      </c>
      <c r="B43" s="2">
        <v>118</v>
      </c>
    </row>
    <row r="44" spans="1:2">
      <c r="A44" s="4" t="s">
        <v>264</v>
      </c>
      <c r="B44" s="2">
        <v>118</v>
      </c>
    </row>
    <row r="45" spans="1:2">
      <c r="A45" s="4" t="s">
        <v>2281</v>
      </c>
      <c r="B45" s="2">
        <v>118</v>
      </c>
    </row>
    <row r="46" spans="1:2">
      <c r="A46" s="4" t="s">
        <v>2282</v>
      </c>
      <c r="B46" s="2">
        <v>118</v>
      </c>
    </row>
    <row r="47" spans="1:2">
      <c r="A47" s="4" t="s">
        <v>78</v>
      </c>
      <c r="B47" s="2">
        <v>118</v>
      </c>
    </row>
    <row r="48" spans="1:2">
      <c r="A48" s="4" t="s">
        <v>2283</v>
      </c>
      <c r="B48" s="2">
        <v>118</v>
      </c>
    </row>
    <row r="49" spans="1:2">
      <c r="A49" s="4" t="s">
        <v>2284</v>
      </c>
      <c r="B49" s="2">
        <v>118</v>
      </c>
    </row>
    <row r="50" spans="1:2">
      <c r="A50" s="4" t="s">
        <v>2285</v>
      </c>
      <c r="B50" s="2">
        <v>118</v>
      </c>
    </row>
    <row r="51" spans="1:2">
      <c r="A51" s="4" t="s">
        <v>90</v>
      </c>
      <c r="B51" s="2">
        <v>118</v>
      </c>
    </row>
    <row r="52" spans="1:2">
      <c r="A52" s="4" t="s">
        <v>2286</v>
      </c>
      <c r="B52" s="2">
        <v>118</v>
      </c>
    </row>
    <row r="53" spans="1:2">
      <c r="A53" s="4" t="s">
        <v>132</v>
      </c>
      <c r="B53" s="2">
        <v>118</v>
      </c>
    </row>
    <row r="54" spans="1:2">
      <c r="A54" s="4" t="s">
        <v>129</v>
      </c>
      <c r="B54" s="2">
        <v>118</v>
      </c>
    </row>
    <row r="55" spans="1:2">
      <c r="A55" s="4" t="s">
        <v>2287</v>
      </c>
      <c r="B55" s="2">
        <v>118</v>
      </c>
    </row>
    <row r="56" spans="1:2">
      <c r="A56" s="4" t="s">
        <v>38</v>
      </c>
      <c r="B56" s="2">
        <v>118</v>
      </c>
    </row>
    <row r="57" spans="1:2">
      <c r="A57" s="4" t="s">
        <v>41</v>
      </c>
      <c r="B57" s="2">
        <v>118</v>
      </c>
    </row>
    <row r="58" spans="1:2">
      <c r="A58" s="4" t="s">
        <v>2288</v>
      </c>
      <c r="B58" s="2">
        <v>118</v>
      </c>
    </row>
    <row r="59" spans="1:2">
      <c r="A59" s="4" t="s">
        <v>2289</v>
      </c>
      <c r="B59" s="2">
        <v>118</v>
      </c>
    </row>
    <row r="60" spans="1:2">
      <c r="A60" s="4" t="s">
        <v>2290</v>
      </c>
      <c r="B60" s="2">
        <v>118</v>
      </c>
    </row>
    <row r="61" spans="1:2">
      <c r="A61" s="4" t="s">
        <v>2291</v>
      </c>
      <c r="B61" s="2">
        <v>118</v>
      </c>
    </row>
    <row r="62" spans="1:2">
      <c r="A62" s="4" t="s">
        <v>2292</v>
      </c>
      <c r="B62" s="2">
        <v>118</v>
      </c>
    </row>
    <row r="63" spans="1:2">
      <c r="A63" s="4" t="s">
        <v>2293</v>
      </c>
      <c r="B63" s="2">
        <v>118</v>
      </c>
    </row>
    <row r="64" spans="1:2">
      <c r="A64" s="4" t="s">
        <v>2294</v>
      </c>
      <c r="B64" s="2">
        <v>118</v>
      </c>
    </row>
    <row r="65" spans="1:2">
      <c r="A65" s="4" t="s">
        <v>156</v>
      </c>
      <c r="B65" s="2">
        <v>118</v>
      </c>
    </row>
    <row r="66" spans="1:2">
      <c r="A66" s="4" t="s">
        <v>149</v>
      </c>
      <c r="B66" s="2">
        <v>118</v>
      </c>
    </row>
    <row r="67" spans="1:2">
      <c r="A67" s="4" t="s">
        <v>2295</v>
      </c>
      <c r="B67" s="2">
        <v>118</v>
      </c>
    </row>
    <row r="68" spans="1:2">
      <c r="A68" s="4" t="s">
        <v>2296</v>
      </c>
      <c r="B68" s="2">
        <v>118</v>
      </c>
    </row>
    <row r="69" spans="1:2">
      <c r="A69" s="4" t="s">
        <v>2297</v>
      </c>
      <c r="B69" s="2">
        <v>118</v>
      </c>
    </row>
    <row r="70" spans="1:2">
      <c r="A70" s="4" t="s">
        <v>63</v>
      </c>
      <c r="B70" s="2">
        <v>118</v>
      </c>
    </row>
    <row r="71" spans="1:2">
      <c r="A71" s="4" t="s">
        <v>2298</v>
      </c>
      <c r="B71" s="2">
        <v>118</v>
      </c>
    </row>
    <row r="72" spans="1:2">
      <c r="A72" s="4" t="s">
        <v>121</v>
      </c>
      <c r="B72" s="2">
        <v>118</v>
      </c>
    </row>
    <row r="73" spans="1:2">
      <c r="A73" s="4" t="s">
        <v>160</v>
      </c>
      <c r="B73" s="2">
        <v>118</v>
      </c>
    </row>
    <row r="74" spans="1:2">
      <c r="A74" s="4" t="s">
        <v>2299</v>
      </c>
      <c r="B74" s="2">
        <v>118</v>
      </c>
    </row>
    <row r="75" spans="1:2">
      <c r="A75" s="4" t="s">
        <v>143</v>
      </c>
      <c r="B75" s="2">
        <v>118</v>
      </c>
    </row>
    <row r="76" spans="1:2">
      <c r="A76" s="4" t="s">
        <v>2300</v>
      </c>
      <c r="B76" s="2">
        <v>118</v>
      </c>
    </row>
    <row r="77" spans="1:2">
      <c r="A77" s="4" t="s">
        <v>2301</v>
      </c>
      <c r="B77" s="2">
        <v>118</v>
      </c>
    </row>
    <row r="78" spans="1:2">
      <c r="A78" s="4" t="s">
        <v>154</v>
      </c>
      <c r="B78" s="2">
        <v>118</v>
      </c>
    </row>
    <row r="79" spans="1:2">
      <c r="A79" s="4" t="s">
        <v>2302</v>
      </c>
      <c r="B79" s="2">
        <v>118</v>
      </c>
    </row>
    <row r="80" spans="1:2">
      <c r="A80" s="4" t="s">
        <v>2303</v>
      </c>
      <c r="B80" s="2">
        <v>118</v>
      </c>
    </row>
    <row r="81" spans="1:2">
      <c r="A81" s="4" t="s">
        <v>50</v>
      </c>
      <c r="B81" s="2">
        <v>118</v>
      </c>
    </row>
    <row r="82" spans="1:2">
      <c r="A82" s="4" t="s">
        <v>158</v>
      </c>
      <c r="B82" s="2">
        <v>118</v>
      </c>
    </row>
    <row r="83" spans="1:2">
      <c r="A83" s="4" t="s">
        <v>2304</v>
      </c>
      <c r="B83" s="2">
        <v>118</v>
      </c>
    </row>
    <row r="84" spans="1:2">
      <c r="A84" s="4" t="s">
        <v>2305</v>
      </c>
      <c r="B84" s="2">
        <v>118</v>
      </c>
    </row>
    <row r="85" spans="1:2">
      <c r="A85" s="4" t="s">
        <v>2306</v>
      </c>
      <c r="B85" s="2">
        <v>118</v>
      </c>
    </row>
    <row r="86" spans="1:2">
      <c r="A86" s="4" t="s">
        <v>2307</v>
      </c>
      <c r="B86" s="2">
        <v>118</v>
      </c>
    </row>
    <row r="87" spans="1:2">
      <c r="A87" s="7" t="s">
        <v>266</v>
      </c>
      <c r="B87" s="7">
        <v>150</v>
      </c>
    </row>
    <row r="88" spans="1:2">
      <c r="A88" s="7" t="s">
        <v>236</v>
      </c>
      <c r="B88" s="7">
        <v>125</v>
      </c>
    </row>
    <row r="89" spans="1:2">
      <c r="A89" s="7" t="s">
        <v>2308</v>
      </c>
      <c r="B89" s="7">
        <v>110.5</v>
      </c>
    </row>
    <row r="90" spans="1:2">
      <c r="A90" s="7" t="s">
        <v>210</v>
      </c>
      <c r="B90" s="7">
        <v>110.5</v>
      </c>
    </row>
    <row r="91" spans="1:2">
      <c r="A91" s="7" t="s">
        <v>216</v>
      </c>
      <c r="B91" s="7">
        <v>125</v>
      </c>
    </row>
    <row r="92" spans="1:2">
      <c r="A92" s="7" t="s">
        <v>2309</v>
      </c>
      <c r="B92" s="7">
        <v>110.5</v>
      </c>
    </row>
    <row r="93" spans="1:2">
      <c r="A93" s="7" t="s">
        <v>2310</v>
      </c>
      <c r="B93" s="7">
        <v>110.5</v>
      </c>
    </row>
    <row r="94" spans="1:2">
      <c r="A94" s="7" t="s">
        <v>229</v>
      </c>
      <c r="B94" s="7">
        <v>110.5</v>
      </c>
    </row>
    <row r="95" spans="1:2">
      <c r="A95" s="7" t="s">
        <v>2311</v>
      </c>
      <c r="B95" s="7">
        <v>110.5</v>
      </c>
    </row>
    <row r="96" spans="1:2">
      <c r="A96" s="7" t="s">
        <v>2312</v>
      </c>
      <c r="B96" s="7">
        <v>110.5</v>
      </c>
    </row>
    <row r="97" spans="1:2">
      <c r="A97" s="7" t="s">
        <v>223</v>
      </c>
      <c r="B97" s="7">
        <v>110.5</v>
      </c>
    </row>
    <row r="98" spans="1:2">
      <c r="A98" s="7" t="s">
        <v>221</v>
      </c>
      <c r="B98" s="7">
        <v>110.5</v>
      </c>
    </row>
    <row r="99" spans="1:2">
      <c r="A99" s="7" t="s">
        <v>2313</v>
      </c>
      <c r="B99" s="7">
        <v>110.5</v>
      </c>
    </row>
    <row r="100" spans="1:2">
      <c r="A100" s="7" t="s">
        <v>231</v>
      </c>
      <c r="B100" s="7">
        <v>110.5</v>
      </c>
    </row>
    <row r="101" spans="1:2">
      <c r="A101" s="7" t="s">
        <v>219</v>
      </c>
      <c r="B101" s="7">
        <v>110.5</v>
      </c>
    </row>
    <row r="102" spans="1:2">
      <c r="A102" s="7" t="s">
        <v>205</v>
      </c>
      <c r="B102" s="7">
        <v>110.5</v>
      </c>
    </row>
    <row r="103" spans="1:2">
      <c r="A103" s="7" t="s">
        <v>2314</v>
      </c>
      <c r="B103" s="7">
        <v>110.5</v>
      </c>
    </row>
    <row r="104" spans="1:2">
      <c r="A104" s="7" t="s">
        <v>2315</v>
      </c>
      <c r="B104" s="7">
        <v>110.5</v>
      </c>
    </row>
    <row r="105" spans="1:2">
      <c r="A105" s="7" t="s">
        <v>225</v>
      </c>
      <c r="B105" s="7">
        <v>110.5</v>
      </c>
    </row>
    <row r="106" spans="1:2">
      <c r="A106" s="7" t="s">
        <v>2316</v>
      </c>
      <c r="B106" s="7">
        <v>110.5</v>
      </c>
    </row>
    <row r="107" spans="1:2">
      <c r="A107" s="7" t="s">
        <v>214</v>
      </c>
      <c r="B107" s="7">
        <v>110.5</v>
      </c>
    </row>
    <row r="108" spans="1:2">
      <c r="A108" s="7" t="s">
        <v>2317</v>
      </c>
      <c r="B108" s="7">
        <v>110.5</v>
      </c>
    </row>
    <row r="109" spans="1:2">
      <c r="A109" s="7" t="s">
        <v>233</v>
      </c>
      <c r="B109" s="7">
        <v>110.5</v>
      </c>
    </row>
    <row r="110" spans="1:2">
      <c r="A110" s="8" t="s">
        <v>2318</v>
      </c>
      <c r="B110" s="8">
        <v>97</v>
      </c>
    </row>
    <row r="111" spans="1:2">
      <c r="A111" s="8" t="s">
        <v>242</v>
      </c>
      <c r="B111" s="8">
        <v>97</v>
      </c>
    </row>
    <row r="112" spans="1:2">
      <c r="A112" s="8" t="s">
        <v>166</v>
      </c>
      <c r="B112" s="8">
        <v>97</v>
      </c>
    </row>
    <row r="113" ht="14.25" spans="1:2">
      <c r="A113" s="9" t="s">
        <v>169</v>
      </c>
      <c r="B113" s="8">
        <v>97</v>
      </c>
    </row>
    <row r="114" ht="14.25" spans="1:2">
      <c r="A114" s="9" t="s">
        <v>2319</v>
      </c>
      <c r="B114" s="8">
        <v>97</v>
      </c>
    </row>
    <row r="115" ht="14.25" spans="1:2">
      <c r="A115" s="9" t="s">
        <v>2320</v>
      </c>
      <c r="B115" s="8">
        <v>97</v>
      </c>
    </row>
    <row r="116" ht="14.25" spans="1:2">
      <c r="A116" s="9" t="s">
        <v>245</v>
      </c>
      <c r="B116" s="8">
        <v>97</v>
      </c>
    </row>
    <row r="117" spans="1:2">
      <c r="A117" s="8" t="s">
        <v>2321</v>
      </c>
      <c r="B117" s="8">
        <v>97</v>
      </c>
    </row>
    <row r="118" ht="14.25" spans="1:2">
      <c r="A118" s="9" t="s">
        <v>2322</v>
      </c>
      <c r="B118" s="8">
        <v>97</v>
      </c>
    </row>
    <row r="119" spans="1:2">
      <c r="A119" s="10" t="s">
        <v>197</v>
      </c>
      <c r="B119" s="11">
        <v>100</v>
      </c>
    </row>
    <row r="120" spans="1:2">
      <c r="A120" s="10" t="s">
        <v>193</v>
      </c>
      <c r="B120" s="11">
        <v>100</v>
      </c>
    </row>
    <row r="121" spans="1:2">
      <c r="A121" s="10" t="s">
        <v>199</v>
      </c>
      <c r="B121" s="11">
        <v>100</v>
      </c>
    </row>
    <row r="122" spans="1:2">
      <c r="A122" s="10" t="s">
        <v>201</v>
      </c>
      <c r="B122" s="11">
        <v>100</v>
      </c>
    </row>
    <row r="123" spans="1:2">
      <c r="A123" s="10" t="s">
        <v>2323</v>
      </c>
      <c r="B123" s="11">
        <v>100</v>
      </c>
    </row>
    <row r="124" spans="1:2">
      <c r="A124" s="10" t="s">
        <v>203</v>
      </c>
      <c r="B124" s="11">
        <v>100</v>
      </c>
    </row>
    <row r="125" spans="1:2">
      <c r="B125">
        <f>SUM(B2:B124)</f>
        <v>15759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4月考勤飞书发送版</vt:lpstr>
      <vt:lpstr>4月考勤汇总表</vt:lpstr>
      <vt:lpstr>深圳</vt:lpstr>
      <vt:lpstr>梅州</vt:lpstr>
      <vt:lpstr>仓库</vt:lpstr>
      <vt:lpstr>广西</vt:lpstr>
      <vt:lpstr>长沙</vt:lpstr>
      <vt:lpstr>武汉</vt:lpstr>
      <vt:lpstr>临时工</vt:lpstr>
      <vt:lpstr>深圳水电费</vt:lpstr>
      <vt:lpstr>社保汇总表</vt:lpstr>
      <vt:lpstr>公积金汇总表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查蒙蒙</dc:creator>
  <cp:lastModifiedBy>WPS</cp:lastModifiedBy>
  <dcterms:created xsi:type="dcterms:W3CDTF">2024-06-08T03:06:00Z</dcterms:created>
  <dcterms:modified xsi:type="dcterms:W3CDTF">2026-05-05T09:56:50Z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BD589144568C4717960DF97CC15652C6_13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